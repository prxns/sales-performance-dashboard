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tiny\Desktop\Projects\Sales_Performance_Dashboard\data\"/>
    </mc:Choice>
  </mc:AlternateContent>
  <xr:revisionPtr revIDLastSave="0" documentId="8_{7A2605A2-4B7F-4609-8854-4B260EF68B1C}" xr6:coauthVersionLast="47" xr6:coauthVersionMax="47" xr10:uidLastSave="{00000000-0000-0000-0000-000000000000}"/>
  <bookViews>
    <workbookView xWindow="7428" yWindow="0" windowWidth="15708" windowHeight="13056" xr2:uid="{87A6C42D-CC18-4671-BE2C-839DBF5209DC}"/>
  </bookViews>
  <sheets>
    <sheet name="Sheet1" sheetId="1" r:id="rId1"/>
  </sheets>
  <definedNames>
    <definedName name="_xlnm._FilterDatabase" localSheetId="0" hidden="1">Sheet1!$C$1:$C$202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L3" i="1"/>
  <c r="K3" i="1" a="1"/>
  <c r="K3" i="1"/>
  <c r="J3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G202" i="1"/>
  <c r="F202" i="1"/>
  <c r="J4" i="1"/>
  <c r="K4" i="1" s="1" a="1"/>
  <c r="K4" i="1" s="1"/>
  <c r="L4" i="1" s="1"/>
  <c r="M4" i="1" s="1"/>
  <c r="J5" i="1"/>
  <c r="K5" i="1" s="1" a="1"/>
  <c r="K5" i="1" s="1"/>
  <c r="L5" i="1" s="1"/>
  <c r="M5" i="1" s="1"/>
  <c r="J6" i="1"/>
  <c r="K6" i="1" s="1" a="1"/>
  <c r="K6" i="1" s="1"/>
  <c r="L6" i="1" s="1"/>
  <c r="M6" i="1" s="1"/>
  <c r="J7" i="1"/>
  <c r="K7" i="1" s="1" a="1"/>
  <c r="K7" i="1" s="1"/>
  <c r="L7" i="1" s="1"/>
  <c r="M7" i="1" s="1"/>
  <c r="J8" i="1"/>
  <c r="K8" i="1" s="1" a="1"/>
  <c r="K8" i="1" s="1"/>
  <c r="L8" i="1" s="1"/>
  <c r="M8" i="1" s="1"/>
  <c r="J9" i="1"/>
  <c r="K9" i="1" s="1" a="1"/>
  <c r="K9" i="1" s="1"/>
  <c r="L9" i="1" s="1"/>
  <c r="M9" i="1" s="1"/>
  <c r="J10" i="1"/>
  <c r="K10" i="1" s="1" a="1"/>
  <c r="K10" i="1" s="1"/>
  <c r="L10" i="1" s="1"/>
  <c r="M10" i="1" s="1"/>
  <c r="J11" i="1"/>
  <c r="K11" i="1" s="1" a="1"/>
  <c r="K11" i="1" s="1"/>
  <c r="L11" i="1" s="1"/>
  <c r="M11" i="1" s="1"/>
  <c r="J12" i="1"/>
  <c r="K12" i="1" s="1" a="1"/>
  <c r="K12" i="1" s="1"/>
  <c r="L12" i="1" s="1"/>
  <c r="M12" i="1" s="1"/>
  <c r="J13" i="1"/>
  <c r="K13" i="1" s="1" a="1"/>
  <c r="K13" i="1" s="1"/>
  <c r="L13" i="1" s="1"/>
  <c r="M13" i="1" s="1"/>
  <c r="J14" i="1"/>
  <c r="K14" i="1" s="1" a="1"/>
  <c r="K14" i="1" s="1"/>
  <c r="L14" i="1" s="1"/>
  <c r="M14" i="1" s="1"/>
  <c r="J15" i="1"/>
  <c r="K15" i="1" s="1" a="1"/>
  <c r="K15" i="1" s="1"/>
  <c r="L15" i="1" s="1"/>
  <c r="M15" i="1" s="1"/>
  <c r="J16" i="1"/>
  <c r="K16" i="1" s="1" a="1"/>
  <c r="K16" i="1" s="1"/>
  <c r="L16" i="1" s="1"/>
  <c r="M16" i="1" s="1"/>
  <c r="J17" i="1"/>
  <c r="J18" i="1"/>
  <c r="J19" i="1"/>
  <c r="J20" i="1"/>
  <c r="J21" i="1"/>
  <c r="J22" i="1"/>
  <c r="I23" i="1"/>
  <c r="J23" i="1" s="1"/>
  <c r="I25" i="1"/>
  <c r="I26" i="1"/>
  <c r="I27" i="1"/>
  <c r="I28" i="1"/>
  <c r="I29" i="1"/>
  <c r="I24" i="1"/>
  <c r="J24" i="1" s="1"/>
  <c r="K17" i="1" l="1" a="1"/>
  <c r="K17" i="1" s="1"/>
  <c r="L17" i="1" s="1"/>
  <c r="M17" i="1" s="1"/>
  <c r="K18" i="1" a="1"/>
  <c r="K18" i="1" s="1"/>
  <c r="L18" i="1" s="1"/>
  <c r="M18" i="1" s="1"/>
  <c r="K19" i="1" a="1"/>
  <c r="K19" i="1" s="1"/>
  <c r="L19" i="1" s="1"/>
  <c r="M19" i="1" s="1"/>
  <c r="K20" i="1" a="1"/>
  <c r="K20" i="1" s="1"/>
  <c r="L20" i="1" s="1"/>
  <c r="M20" i="1" s="1"/>
  <c r="K22" i="1" a="1"/>
  <c r="K22" i="1" s="1"/>
  <c r="L22" i="1" s="1"/>
  <c r="M22" i="1" s="1"/>
  <c r="K21" i="1" a="1"/>
  <c r="K21" i="1" s="1"/>
  <c r="L21" i="1" s="1"/>
  <c r="M21" i="1" s="1"/>
  <c r="K23" i="1" a="1"/>
  <c r="K23" i="1" s="1"/>
  <c r="L23" i="1" s="1"/>
  <c r="M23" i="1" s="1"/>
  <c r="K24" i="1" a="1"/>
  <c r="K24" i="1" s="1"/>
  <c r="L24" i="1" s="1"/>
  <c r="M24" i="1" s="1"/>
  <c r="J25" i="1"/>
  <c r="J26" i="1"/>
  <c r="J27" i="1"/>
  <c r="J28" i="1"/>
  <c r="J29" i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K26" i="1" l="1" a="1"/>
  <c r="K26" i="1" s="1"/>
  <c r="L26" i="1" s="1"/>
  <c r="M26" i="1" s="1"/>
  <c r="K27" i="1" a="1"/>
  <c r="K27" i="1" s="1"/>
  <c r="L27" i="1" s="1"/>
  <c r="M27" i="1" s="1"/>
  <c r="K28" i="1" a="1"/>
  <c r="K28" i="1" s="1"/>
  <c r="L28" i="1" s="1"/>
  <c r="M28" i="1" s="1"/>
  <c r="K29" i="1" a="1"/>
  <c r="K29" i="1" s="1"/>
  <c r="L29" i="1" s="1"/>
  <c r="M29" i="1" s="1"/>
  <c r="K30" i="1" a="1"/>
  <c r="K30" i="1" s="1"/>
  <c r="L30" i="1" s="1"/>
  <c r="M30" i="1" s="1"/>
  <c r="K31" i="1" a="1"/>
  <c r="K31" i="1" s="1"/>
  <c r="L31" i="1" s="1"/>
  <c r="M31" i="1" s="1"/>
  <c r="K32" i="1" a="1"/>
  <c r="K32" i="1" s="1"/>
  <c r="L32" i="1" s="1"/>
  <c r="M32" i="1" s="1"/>
  <c r="K33" i="1" a="1"/>
  <c r="K33" i="1" s="1"/>
  <c r="L33" i="1" s="1"/>
  <c r="M33" i="1" s="1"/>
  <c r="K34" i="1" a="1"/>
  <c r="K34" i="1" s="1"/>
  <c r="L34" i="1" s="1"/>
  <c r="M34" i="1" s="1"/>
  <c r="K35" i="1" a="1"/>
  <c r="K35" i="1" s="1"/>
  <c r="L35" i="1" s="1"/>
  <c r="M35" i="1" s="1"/>
  <c r="K36" i="1" a="1"/>
  <c r="K36" i="1" s="1"/>
  <c r="L36" i="1" s="1"/>
  <c r="M36" i="1" s="1"/>
  <c r="K37" i="1" a="1"/>
  <c r="K37" i="1" s="1"/>
  <c r="L37" i="1" s="1"/>
  <c r="M37" i="1" s="1"/>
  <c r="K38" i="1" a="1"/>
  <c r="K38" i="1" s="1"/>
  <c r="L38" i="1" s="1"/>
  <c r="M38" i="1" s="1"/>
  <c r="K39" i="1" a="1"/>
  <c r="K39" i="1" s="1"/>
  <c r="L39" i="1" s="1"/>
  <c r="M39" i="1" s="1"/>
  <c r="K40" i="1" a="1"/>
  <c r="K40" i="1" s="1"/>
  <c r="L40" i="1" s="1"/>
  <c r="M40" i="1" s="1"/>
  <c r="K41" i="1" a="1"/>
  <c r="K41" i="1" s="1"/>
  <c r="L41" i="1" s="1"/>
  <c r="M41" i="1" s="1"/>
  <c r="K42" i="1" a="1"/>
  <c r="K42" i="1" s="1"/>
  <c r="L42" i="1" s="1"/>
  <c r="M42" i="1" s="1"/>
  <c r="K43" i="1" a="1"/>
  <c r="K43" i="1" s="1"/>
  <c r="L43" i="1" s="1"/>
  <c r="M43" i="1" s="1"/>
  <c r="K44" i="1" a="1"/>
  <c r="K44" i="1" s="1"/>
  <c r="L44" i="1" s="1"/>
  <c r="M44" i="1" s="1"/>
  <c r="K45" i="1" a="1"/>
  <c r="K45" i="1" s="1"/>
  <c r="L45" i="1" s="1"/>
  <c r="M45" i="1" s="1"/>
  <c r="K46" i="1" a="1"/>
  <c r="K46" i="1" s="1"/>
  <c r="L46" i="1" s="1"/>
  <c r="M46" i="1" s="1"/>
  <c r="K47" i="1" a="1"/>
  <c r="K47" i="1" s="1"/>
  <c r="L47" i="1" s="1"/>
  <c r="M47" i="1" s="1"/>
  <c r="K48" i="1" a="1"/>
  <c r="K48" i="1" s="1"/>
  <c r="L48" i="1" s="1"/>
  <c r="M48" i="1" s="1"/>
  <c r="K49" i="1" a="1"/>
  <c r="K49" i="1" s="1"/>
  <c r="L49" i="1" s="1"/>
  <c r="M49" i="1" s="1"/>
  <c r="K50" i="1" a="1"/>
  <c r="K50" i="1" s="1"/>
  <c r="L50" i="1" s="1"/>
  <c r="M50" i="1" s="1"/>
  <c r="K51" i="1" a="1"/>
  <c r="K51" i="1" s="1"/>
  <c r="L51" i="1" s="1"/>
  <c r="M51" i="1" s="1"/>
  <c r="K52" i="1" a="1"/>
  <c r="K52" i="1" s="1"/>
  <c r="L52" i="1" s="1"/>
  <c r="M52" i="1" s="1"/>
  <c r="K53" i="1" a="1"/>
  <c r="K53" i="1" s="1"/>
  <c r="L53" i="1" s="1"/>
  <c r="M53" i="1" s="1"/>
  <c r="K54" i="1" a="1"/>
  <c r="K54" i="1" s="1"/>
  <c r="L54" i="1" s="1"/>
  <c r="M54" i="1" s="1"/>
  <c r="K55" i="1" a="1"/>
  <c r="K55" i="1" s="1"/>
  <c r="L55" i="1" s="1"/>
  <c r="M55" i="1" s="1"/>
  <c r="K56" i="1" a="1"/>
  <c r="K56" i="1" s="1"/>
  <c r="L56" i="1" s="1"/>
  <c r="M56" i="1" s="1"/>
  <c r="K57" i="1" a="1"/>
  <c r="K57" i="1" s="1"/>
  <c r="L57" i="1" s="1"/>
  <c r="M57" i="1" s="1"/>
  <c r="K58" i="1" a="1"/>
  <c r="K58" i="1" s="1"/>
  <c r="L58" i="1" s="1"/>
  <c r="M58" i="1" s="1"/>
  <c r="K59" i="1" a="1"/>
  <c r="K59" i="1" s="1"/>
  <c r="L59" i="1" s="1"/>
  <c r="M59" i="1" s="1"/>
  <c r="K60" i="1" a="1"/>
  <c r="K60" i="1" s="1"/>
  <c r="L60" i="1" s="1"/>
  <c r="M60" i="1" s="1"/>
  <c r="K61" i="1" a="1"/>
  <c r="K61" i="1" s="1"/>
  <c r="L61" i="1" s="1"/>
  <c r="M61" i="1" s="1"/>
  <c r="K62" i="1" a="1"/>
  <c r="K62" i="1" s="1"/>
  <c r="L62" i="1" s="1"/>
  <c r="M62" i="1" s="1"/>
  <c r="K63" i="1" a="1"/>
  <c r="K63" i="1" s="1"/>
  <c r="L63" i="1" s="1"/>
  <c r="M63" i="1" s="1"/>
  <c r="K64" i="1" a="1"/>
  <c r="K64" i="1" s="1"/>
  <c r="L64" i="1" s="1"/>
  <c r="M64" i="1" s="1"/>
  <c r="K65" i="1" a="1"/>
  <c r="K65" i="1" s="1"/>
  <c r="L65" i="1" s="1"/>
  <c r="M65" i="1" s="1"/>
  <c r="K66" i="1" a="1"/>
  <c r="K66" i="1" s="1"/>
  <c r="L66" i="1" s="1"/>
  <c r="M66" i="1" s="1"/>
  <c r="K67" i="1" a="1"/>
  <c r="K67" i="1" s="1"/>
  <c r="L67" i="1" s="1"/>
  <c r="M67" i="1" s="1"/>
  <c r="K68" i="1" a="1"/>
  <c r="K68" i="1" s="1"/>
  <c r="L68" i="1" s="1"/>
  <c r="M68" i="1" s="1"/>
  <c r="K69" i="1" a="1"/>
  <c r="K69" i="1" s="1"/>
  <c r="L69" i="1" s="1"/>
  <c r="M69" i="1" s="1"/>
  <c r="K70" i="1" a="1"/>
  <c r="K70" i="1" s="1"/>
  <c r="L70" i="1" s="1"/>
  <c r="M70" i="1" s="1"/>
  <c r="K71" i="1" a="1"/>
  <c r="K71" i="1" s="1"/>
  <c r="L71" i="1" s="1"/>
  <c r="M71" i="1" s="1"/>
  <c r="K72" i="1" a="1"/>
  <c r="K72" i="1" s="1"/>
  <c r="L72" i="1" s="1"/>
  <c r="M72" i="1" s="1"/>
  <c r="K73" i="1" a="1"/>
  <c r="K73" i="1" s="1"/>
  <c r="L73" i="1" s="1"/>
  <c r="M73" i="1" s="1"/>
  <c r="K74" i="1" a="1"/>
  <c r="K74" i="1" s="1"/>
  <c r="L74" i="1" s="1"/>
  <c r="M74" i="1" s="1"/>
  <c r="K75" i="1" a="1"/>
  <c r="K75" i="1" s="1"/>
  <c r="L75" i="1" s="1"/>
  <c r="M75" i="1" s="1"/>
  <c r="K76" i="1" a="1"/>
  <c r="K76" i="1" s="1"/>
  <c r="L76" i="1" s="1"/>
  <c r="M76" i="1" s="1"/>
  <c r="K77" i="1" a="1"/>
  <c r="K77" i="1" s="1"/>
  <c r="L77" i="1" s="1"/>
  <c r="M77" i="1" s="1"/>
  <c r="K78" i="1" a="1"/>
  <c r="K78" i="1" s="1"/>
  <c r="L78" i="1" s="1"/>
  <c r="M78" i="1" s="1"/>
  <c r="K79" i="1" a="1"/>
  <c r="K79" i="1" s="1"/>
  <c r="L79" i="1" s="1"/>
  <c r="M79" i="1" s="1"/>
  <c r="K80" i="1" a="1"/>
  <c r="K80" i="1" s="1"/>
  <c r="L80" i="1" s="1"/>
  <c r="M80" i="1" s="1"/>
  <c r="K81" i="1" a="1"/>
  <c r="K81" i="1" s="1"/>
  <c r="L81" i="1" s="1"/>
  <c r="M81" i="1" s="1"/>
  <c r="K82" i="1" a="1"/>
  <c r="K82" i="1" s="1"/>
  <c r="L82" i="1" s="1"/>
  <c r="M82" i="1" s="1"/>
  <c r="K83" i="1" a="1"/>
  <c r="K83" i="1" s="1"/>
  <c r="L83" i="1" s="1"/>
  <c r="M83" i="1" s="1"/>
  <c r="K84" i="1" a="1"/>
  <c r="K84" i="1" s="1"/>
  <c r="L84" i="1" s="1"/>
  <c r="M84" i="1" s="1"/>
  <c r="K85" i="1" a="1"/>
  <c r="K85" i="1" s="1"/>
  <c r="L85" i="1" s="1"/>
  <c r="M85" i="1" s="1"/>
  <c r="K86" i="1" a="1"/>
  <c r="K86" i="1" s="1"/>
  <c r="L86" i="1" s="1"/>
  <c r="M86" i="1" s="1"/>
  <c r="K87" i="1" a="1"/>
  <c r="K87" i="1" s="1"/>
  <c r="L87" i="1" s="1"/>
  <c r="M87" i="1" s="1"/>
  <c r="K88" i="1" a="1"/>
  <c r="K88" i="1" s="1"/>
  <c r="L88" i="1" s="1"/>
  <c r="M88" i="1" s="1"/>
  <c r="K89" i="1" a="1"/>
  <c r="K89" i="1" s="1"/>
  <c r="L89" i="1" s="1"/>
  <c r="M89" i="1" s="1"/>
  <c r="K90" i="1" a="1"/>
  <c r="K90" i="1" s="1"/>
  <c r="L90" i="1" s="1"/>
  <c r="M90" i="1" s="1"/>
  <c r="K91" i="1" a="1"/>
  <c r="K91" i="1" s="1"/>
  <c r="L91" i="1" s="1"/>
  <c r="M91" i="1" s="1"/>
  <c r="K92" i="1" a="1"/>
  <c r="K92" i="1" s="1"/>
  <c r="L92" i="1" s="1"/>
  <c r="M92" i="1" s="1"/>
  <c r="K93" i="1" a="1"/>
  <c r="K93" i="1" s="1"/>
  <c r="L93" i="1" s="1"/>
  <c r="M93" i="1" s="1"/>
  <c r="K94" i="1" a="1"/>
  <c r="K94" i="1" s="1"/>
  <c r="L94" i="1" s="1"/>
  <c r="M94" i="1" s="1"/>
  <c r="K95" i="1" a="1"/>
  <c r="K95" i="1" s="1"/>
  <c r="L95" i="1" s="1"/>
  <c r="M95" i="1" s="1"/>
  <c r="K96" i="1" a="1"/>
  <c r="K96" i="1" s="1"/>
  <c r="L96" i="1" s="1"/>
  <c r="M96" i="1" s="1"/>
  <c r="K97" i="1" a="1"/>
  <c r="K97" i="1" s="1"/>
  <c r="L97" i="1" s="1"/>
  <c r="M97" i="1" s="1"/>
  <c r="K98" i="1" a="1"/>
  <c r="K98" i="1" s="1"/>
  <c r="L98" i="1" s="1"/>
  <c r="M98" i="1" s="1"/>
  <c r="K99" i="1" a="1"/>
  <c r="K99" i="1" s="1"/>
  <c r="L99" i="1" s="1"/>
  <c r="M99" i="1" s="1"/>
  <c r="K100" i="1" a="1"/>
  <c r="K100" i="1" s="1"/>
  <c r="L100" i="1" s="1"/>
  <c r="M100" i="1" s="1"/>
  <c r="K101" i="1" a="1"/>
  <c r="K101" i="1" s="1"/>
  <c r="L101" i="1" s="1"/>
  <c r="M101" i="1" s="1"/>
  <c r="K102" i="1" a="1"/>
  <c r="K102" i="1" s="1"/>
  <c r="L102" i="1" s="1"/>
  <c r="M102" i="1" s="1"/>
  <c r="K103" i="1" a="1"/>
  <c r="K103" i="1" s="1"/>
  <c r="L103" i="1" s="1"/>
  <c r="M103" i="1" s="1"/>
  <c r="K104" i="1" a="1"/>
  <c r="K104" i="1" s="1"/>
  <c r="L104" i="1" s="1"/>
  <c r="M104" i="1" s="1"/>
  <c r="K105" i="1" a="1"/>
  <c r="K105" i="1" s="1"/>
  <c r="L105" i="1" s="1"/>
  <c r="M105" i="1" s="1"/>
  <c r="K106" i="1" a="1"/>
  <c r="K106" i="1" s="1"/>
  <c r="L106" i="1" s="1"/>
  <c r="M106" i="1" s="1"/>
  <c r="K107" i="1" a="1"/>
  <c r="K107" i="1" s="1"/>
  <c r="L107" i="1" s="1"/>
  <c r="M107" i="1" s="1"/>
  <c r="K108" i="1" a="1"/>
  <c r="K108" i="1" s="1"/>
  <c r="L108" i="1" s="1"/>
  <c r="M108" i="1" s="1"/>
  <c r="K109" i="1" a="1"/>
  <c r="K109" i="1" s="1"/>
  <c r="L109" i="1" s="1"/>
  <c r="M109" i="1" s="1"/>
  <c r="K110" i="1" a="1"/>
  <c r="K110" i="1" s="1"/>
  <c r="L110" i="1" s="1"/>
  <c r="M110" i="1" s="1"/>
  <c r="K111" i="1" a="1"/>
  <c r="K111" i="1" s="1"/>
  <c r="L111" i="1" s="1"/>
  <c r="M111" i="1" s="1"/>
  <c r="K112" i="1" a="1"/>
  <c r="K112" i="1" s="1"/>
  <c r="L112" i="1" s="1"/>
  <c r="M112" i="1" s="1"/>
  <c r="K113" i="1" a="1"/>
  <c r="K113" i="1" s="1"/>
  <c r="L113" i="1" s="1"/>
  <c r="M113" i="1" s="1"/>
  <c r="K114" i="1" a="1"/>
  <c r="K114" i="1" s="1"/>
  <c r="L114" i="1" s="1"/>
  <c r="M114" i="1" s="1"/>
  <c r="K115" i="1" a="1"/>
  <c r="K115" i="1" s="1"/>
  <c r="L115" i="1" s="1"/>
  <c r="M115" i="1" s="1"/>
  <c r="K116" i="1" a="1"/>
  <c r="K116" i="1" s="1"/>
  <c r="L116" i="1" s="1"/>
  <c r="M116" i="1" s="1"/>
  <c r="K117" i="1" a="1"/>
  <c r="K117" i="1" s="1"/>
  <c r="L117" i="1" s="1"/>
  <c r="M117" i="1" s="1"/>
  <c r="K118" i="1" a="1"/>
  <c r="K118" i="1" s="1"/>
  <c r="L118" i="1" s="1"/>
  <c r="M118" i="1" s="1"/>
  <c r="K119" i="1" a="1"/>
  <c r="K119" i="1" s="1"/>
  <c r="L119" i="1" s="1"/>
  <c r="M119" i="1" s="1"/>
  <c r="K120" i="1" a="1"/>
  <c r="K120" i="1" s="1"/>
  <c r="L120" i="1" s="1"/>
  <c r="M120" i="1" s="1"/>
  <c r="K121" i="1" a="1"/>
  <c r="K121" i="1" s="1"/>
  <c r="L121" i="1" s="1"/>
  <c r="M121" i="1" s="1"/>
  <c r="K122" i="1" a="1"/>
  <c r="K122" i="1" s="1"/>
  <c r="L122" i="1" s="1"/>
  <c r="M122" i="1" s="1"/>
  <c r="K123" i="1" a="1"/>
  <c r="K123" i="1" s="1"/>
  <c r="L123" i="1" s="1"/>
  <c r="M123" i="1" s="1"/>
  <c r="K124" i="1" a="1"/>
  <c r="K124" i="1" s="1"/>
  <c r="L124" i="1" s="1"/>
  <c r="M124" i="1" s="1"/>
  <c r="K125" i="1" a="1"/>
  <c r="K125" i="1" s="1"/>
  <c r="L125" i="1" s="1"/>
  <c r="M125" i="1" s="1"/>
  <c r="K126" i="1" a="1"/>
  <c r="K126" i="1" s="1"/>
  <c r="L126" i="1" s="1"/>
  <c r="M126" i="1" s="1"/>
  <c r="K127" i="1" a="1"/>
  <c r="K127" i="1" s="1"/>
  <c r="L127" i="1" s="1"/>
  <c r="M127" i="1" s="1"/>
  <c r="K128" i="1" a="1"/>
  <c r="K128" i="1" s="1"/>
  <c r="L128" i="1" s="1"/>
  <c r="M128" i="1" s="1"/>
  <c r="K129" i="1" a="1"/>
  <c r="K129" i="1" s="1"/>
  <c r="L129" i="1" s="1"/>
  <c r="M129" i="1" s="1"/>
  <c r="K130" i="1" a="1"/>
  <c r="K130" i="1" s="1"/>
  <c r="L130" i="1" s="1"/>
  <c r="M130" i="1" s="1"/>
  <c r="K131" i="1" a="1"/>
  <c r="K131" i="1" s="1"/>
  <c r="L131" i="1" s="1"/>
  <c r="M131" i="1" s="1"/>
  <c r="K132" i="1" a="1"/>
  <c r="K132" i="1" s="1"/>
  <c r="L132" i="1" s="1"/>
  <c r="M132" i="1" s="1"/>
  <c r="K133" i="1" a="1"/>
  <c r="K133" i="1" s="1"/>
  <c r="L133" i="1" s="1"/>
  <c r="M133" i="1" s="1"/>
  <c r="K134" i="1" a="1"/>
  <c r="K134" i="1" s="1"/>
  <c r="L134" i="1" s="1"/>
  <c r="M134" i="1" s="1"/>
  <c r="K135" i="1" a="1"/>
  <c r="K135" i="1" s="1"/>
  <c r="L135" i="1" s="1"/>
  <c r="M135" i="1" s="1"/>
  <c r="K136" i="1" a="1"/>
  <c r="K136" i="1" s="1"/>
  <c r="L136" i="1" s="1"/>
  <c r="M136" i="1" s="1"/>
  <c r="K137" i="1" a="1"/>
  <c r="K137" i="1" s="1"/>
  <c r="L137" i="1" s="1"/>
  <c r="M137" i="1" s="1"/>
  <c r="K138" i="1" a="1"/>
  <c r="K138" i="1" s="1"/>
  <c r="L138" i="1" s="1"/>
  <c r="M138" i="1" s="1"/>
  <c r="K139" i="1" a="1"/>
  <c r="K139" i="1" s="1"/>
  <c r="L139" i="1" s="1"/>
  <c r="M139" i="1" s="1"/>
  <c r="K140" i="1" a="1"/>
  <c r="K140" i="1" s="1"/>
  <c r="L140" i="1" s="1"/>
  <c r="M140" i="1" s="1"/>
  <c r="K141" i="1" a="1"/>
  <c r="K141" i="1" s="1"/>
  <c r="L141" i="1" s="1"/>
  <c r="M141" i="1" s="1"/>
  <c r="K142" i="1" a="1"/>
  <c r="K142" i="1" s="1"/>
  <c r="L142" i="1" s="1"/>
  <c r="M142" i="1" s="1"/>
  <c r="K143" i="1" a="1"/>
  <c r="K143" i="1" s="1"/>
  <c r="L143" i="1" s="1"/>
  <c r="M143" i="1" s="1"/>
  <c r="K144" i="1" a="1"/>
  <c r="K144" i="1" s="1"/>
  <c r="L144" i="1" s="1"/>
  <c r="M144" i="1" s="1"/>
  <c r="K145" i="1" a="1"/>
  <c r="K145" i="1" s="1"/>
  <c r="L145" i="1" s="1"/>
  <c r="M145" i="1" s="1"/>
  <c r="K146" i="1" a="1"/>
  <c r="K146" i="1" s="1"/>
  <c r="L146" i="1" s="1"/>
  <c r="M146" i="1" s="1"/>
  <c r="K147" i="1" a="1"/>
  <c r="K147" i="1" s="1"/>
  <c r="L147" i="1" s="1"/>
  <c r="M147" i="1" s="1"/>
  <c r="K148" i="1" a="1"/>
  <c r="K148" i="1" s="1"/>
  <c r="L148" i="1" s="1"/>
  <c r="M148" i="1" s="1"/>
  <c r="K149" i="1" a="1"/>
  <c r="K149" i="1" s="1"/>
  <c r="L149" i="1" s="1"/>
  <c r="M149" i="1" s="1"/>
  <c r="K150" i="1" a="1"/>
  <c r="K150" i="1" s="1"/>
  <c r="L150" i="1" s="1"/>
  <c r="M150" i="1" s="1"/>
  <c r="K151" i="1" a="1"/>
  <c r="K151" i="1" s="1"/>
  <c r="L151" i="1" s="1"/>
  <c r="M151" i="1" s="1"/>
  <c r="K152" i="1" a="1"/>
  <c r="K152" i="1" s="1"/>
  <c r="L152" i="1" s="1"/>
  <c r="M152" i="1" s="1"/>
  <c r="K153" i="1" a="1"/>
  <c r="K153" i="1" s="1"/>
  <c r="L153" i="1" s="1"/>
  <c r="M153" i="1" s="1"/>
  <c r="K154" i="1" a="1"/>
  <c r="K154" i="1" s="1"/>
  <c r="L154" i="1" s="1"/>
  <c r="M154" i="1" s="1"/>
  <c r="K155" i="1" a="1"/>
  <c r="K155" i="1" s="1"/>
  <c r="L155" i="1" s="1"/>
  <c r="M155" i="1" s="1"/>
  <c r="K156" i="1" a="1"/>
  <c r="K156" i="1" s="1"/>
  <c r="L156" i="1" s="1"/>
  <c r="M156" i="1" s="1"/>
  <c r="K157" i="1" a="1"/>
  <c r="K157" i="1" s="1"/>
  <c r="L157" i="1" s="1"/>
  <c r="M157" i="1" s="1"/>
  <c r="K158" i="1" a="1"/>
  <c r="K158" i="1" s="1"/>
  <c r="L158" i="1" s="1"/>
  <c r="M158" i="1" s="1"/>
  <c r="K159" i="1" a="1"/>
  <c r="K159" i="1" s="1"/>
  <c r="L159" i="1" s="1"/>
  <c r="M159" i="1" s="1"/>
  <c r="K160" i="1" a="1"/>
  <c r="K160" i="1" s="1"/>
  <c r="L160" i="1" s="1"/>
  <c r="M160" i="1" s="1"/>
  <c r="K161" i="1" a="1"/>
  <c r="K161" i="1" s="1"/>
  <c r="L161" i="1" s="1"/>
  <c r="M161" i="1" s="1"/>
  <c r="K162" i="1" a="1"/>
  <c r="K162" i="1" s="1"/>
  <c r="L162" i="1" s="1"/>
  <c r="M162" i="1" s="1"/>
  <c r="K163" i="1" a="1"/>
  <c r="K163" i="1" s="1"/>
  <c r="L163" i="1" s="1"/>
  <c r="M163" i="1" s="1"/>
  <c r="K164" i="1" a="1"/>
  <c r="K164" i="1" s="1"/>
  <c r="L164" i="1" s="1"/>
  <c r="M164" i="1" s="1"/>
  <c r="K165" i="1" a="1"/>
  <c r="K165" i="1" s="1"/>
  <c r="L165" i="1" s="1"/>
  <c r="M165" i="1" s="1"/>
  <c r="K166" i="1" a="1"/>
  <c r="K166" i="1" s="1"/>
  <c r="L166" i="1" s="1"/>
  <c r="M166" i="1" s="1"/>
  <c r="K167" i="1" a="1"/>
  <c r="K167" i="1" s="1"/>
  <c r="L167" i="1" s="1"/>
  <c r="M167" i="1" s="1"/>
  <c r="K168" i="1" a="1"/>
  <c r="K168" i="1" s="1"/>
  <c r="L168" i="1" s="1"/>
  <c r="M168" i="1" s="1"/>
  <c r="K169" i="1" a="1"/>
  <c r="K169" i="1" s="1"/>
  <c r="L169" i="1" s="1"/>
  <c r="M169" i="1" s="1"/>
  <c r="K170" i="1" a="1"/>
  <c r="K170" i="1" s="1"/>
  <c r="L170" i="1" s="1"/>
  <c r="M170" i="1" s="1"/>
  <c r="K171" i="1" a="1"/>
  <c r="K171" i="1" s="1"/>
  <c r="L171" i="1" s="1"/>
  <c r="M171" i="1" s="1"/>
  <c r="K172" i="1" a="1"/>
  <c r="K172" i="1" s="1"/>
  <c r="L172" i="1" s="1"/>
  <c r="M172" i="1" s="1"/>
  <c r="K173" i="1" a="1"/>
  <c r="K173" i="1" s="1"/>
  <c r="L173" i="1" s="1"/>
  <c r="M173" i="1" s="1"/>
  <c r="K174" i="1" a="1"/>
  <c r="K174" i="1" s="1"/>
  <c r="L174" i="1" s="1"/>
  <c r="M174" i="1" s="1"/>
  <c r="K175" i="1" a="1"/>
  <c r="K175" i="1" s="1"/>
  <c r="L175" i="1" s="1"/>
  <c r="M175" i="1" s="1"/>
  <c r="K176" i="1" a="1"/>
  <c r="K176" i="1" s="1"/>
  <c r="L176" i="1" s="1"/>
  <c r="M176" i="1" s="1"/>
  <c r="K177" i="1" a="1"/>
  <c r="K177" i="1" s="1"/>
  <c r="L177" i="1" s="1"/>
  <c r="M177" i="1" s="1"/>
  <c r="K178" i="1" a="1"/>
  <c r="K178" i="1" s="1"/>
  <c r="L178" i="1" s="1"/>
  <c r="M178" i="1" s="1"/>
  <c r="K179" i="1" a="1"/>
  <c r="K179" i="1" s="1"/>
  <c r="L179" i="1" s="1"/>
  <c r="M179" i="1" s="1"/>
  <c r="K180" i="1" a="1"/>
  <c r="K180" i="1" s="1"/>
  <c r="L180" i="1" s="1"/>
  <c r="M180" i="1" s="1"/>
  <c r="K181" i="1" a="1"/>
  <c r="K181" i="1" s="1"/>
  <c r="L181" i="1" s="1"/>
  <c r="M181" i="1" s="1"/>
  <c r="K182" i="1" a="1"/>
  <c r="K182" i="1" s="1"/>
  <c r="L182" i="1" s="1"/>
  <c r="M182" i="1" s="1"/>
  <c r="K183" i="1" a="1"/>
  <c r="K183" i="1" s="1"/>
  <c r="L183" i="1" s="1"/>
  <c r="M183" i="1" s="1"/>
  <c r="K184" i="1" a="1"/>
  <c r="K184" i="1" s="1"/>
  <c r="L184" i="1" s="1"/>
  <c r="M184" i="1" s="1"/>
  <c r="K185" i="1" a="1"/>
  <c r="K185" i="1" s="1"/>
  <c r="L185" i="1" s="1"/>
  <c r="M185" i="1" s="1"/>
  <c r="K186" i="1" a="1"/>
  <c r="K186" i="1" s="1"/>
  <c r="L186" i="1" s="1"/>
  <c r="M186" i="1" s="1"/>
  <c r="K187" i="1" a="1"/>
  <c r="K187" i="1" s="1"/>
  <c r="L187" i="1" s="1"/>
  <c r="M187" i="1" s="1"/>
  <c r="K188" i="1" a="1"/>
  <c r="K188" i="1" s="1"/>
  <c r="L188" i="1" s="1"/>
  <c r="M188" i="1" s="1"/>
  <c r="K189" i="1" a="1"/>
  <c r="K189" i="1" s="1"/>
  <c r="L189" i="1" s="1"/>
  <c r="M189" i="1" s="1"/>
  <c r="K190" i="1" a="1"/>
  <c r="K190" i="1" s="1"/>
  <c r="L190" i="1" s="1"/>
  <c r="M190" i="1" s="1"/>
  <c r="K191" i="1" a="1"/>
  <c r="K191" i="1" s="1"/>
  <c r="L191" i="1" s="1"/>
  <c r="M191" i="1" s="1"/>
  <c r="K192" i="1" a="1"/>
  <c r="K192" i="1" s="1"/>
  <c r="L192" i="1" s="1"/>
  <c r="M192" i="1" s="1"/>
  <c r="K193" i="1" a="1"/>
  <c r="K193" i="1" s="1"/>
  <c r="L193" i="1" s="1"/>
  <c r="M193" i="1" s="1"/>
  <c r="K194" i="1" a="1"/>
  <c r="K194" i="1" s="1"/>
  <c r="L194" i="1" s="1"/>
  <c r="M194" i="1" s="1"/>
  <c r="K195" i="1" a="1"/>
  <c r="K195" i="1" s="1"/>
  <c r="L195" i="1" s="1"/>
  <c r="M195" i="1" s="1"/>
  <c r="K196" i="1" a="1"/>
  <c r="K196" i="1" s="1"/>
  <c r="L196" i="1" s="1"/>
  <c r="M196" i="1" s="1"/>
  <c r="K197" i="1" a="1"/>
  <c r="K197" i="1" s="1"/>
  <c r="L197" i="1" s="1"/>
  <c r="M197" i="1" s="1"/>
  <c r="K198" i="1" a="1"/>
  <c r="K198" i="1" s="1"/>
  <c r="L198" i="1" s="1"/>
  <c r="M198" i="1" s="1"/>
  <c r="K199" i="1" a="1"/>
  <c r="K199" i="1" s="1"/>
  <c r="L199" i="1" s="1"/>
  <c r="M199" i="1" s="1"/>
  <c r="K200" i="1" a="1"/>
  <c r="K200" i="1" s="1"/>
  <c r="L200" i="1" s="1"/>
  <c r="M200" i="1" s="1"/>
  <c r="K201" i="1" a="1"/>
  <c r="K201" i="1" s="1"/>
  <c r="L201" i="1" s="1"/>
  <c r="M201" i="1" s="1"/>
  <c r="K202" i="1" a="1"/>
  <c r="K202" i="1" s="1"/>
  <c r="L202" i="1" s="1"/>
  <c r="M202" i="1" s="1"/>
  <c r="K25" i="1" a="1"/>
  <c r="K25" i="1" s="1"/>
  <c r="L25" i="1" s="1"/>
  <c r="M2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<sst xmlns="http://schemas.openxmlformats.org/spreadsheetml/2006/main" count="453" uniqueCount="32">
  <si>
    <t>OrderID</t>
  </si>
  <si>
    <t>Date</t>
  </si>
  <si>
    <t>Product</t>
  </si>
  <si>
    <t>Category</t>
  </si>
  <si>
    <t>Region</t>
  </si>
  <si>
    <t>Salesperson</t>
  </si>
  <si>
    <t>Units Sold</t>
  </si>
  <si>
    <t>S No.</t>
  </si>
  <si>
    <t>Laptop</t>
  </si>
  <si>
    <t>Phone</t>
  </si>
  <si>
    <t>Tablet</t>
  </si>
  <si>
    <t>Headphones</t>
  </si>
  <si>
    <t>Monitor</t>
  </si>
  <si>
    <t>Keyboard</t>
  </si>
  <si>
    <t>Mouse</t>
  </si>
  <si>
    <t>Electronics</t>
  </si>
  <si>
    <t>Accessories</t>
  </si>
  <si>
    <t>Mumbai</t>
  </si>
  <si>
    <t>Delhi</t>
  </si>
  <si>
    <t>Banglore</t>
  </si>
  <si>
    <t>Pune</t>
  </si>
  <si>
    <t>Hyderabad</t>
  </si>
  <si>
    <t>Dehradun</t>
  </si>
  <si>
    <t>Priya</t>
  </si>
  <si>
    <t>Aman</t>
  </si>
  <si>
    <t>Rahul</t>
  </si>
  <si>
    <t>Simran</t>
  </si>
  <si>
    <t>Total Cost</t>
  </si>
  <si>
    <t>Net Profit</t>
  </si>
  <si>
    <t>Profit Margin (%)</t>
  </si>
  <si>
    <t>Total Revenue</t>
  </si>
  <si>
    <t>Unit 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</si>
</sst>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m\-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name val="Calibri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8" fontId="3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/>
    <xf numFmtId="168" fontId="1" fillId="0" borderId="0" xfId="0" applyNumberFormat="1" applyFont="1"/>
    <xf numFmtId="168" fontId="4" fillId="0" borderId="0" xfId="1" applyFont="1"/>
  </cellXfs>
  <cellStyles count="2">
    <cellStyle name="custom_date" xfId="1" xr:uid="{DA679B78-9174-4B78-9A57-50ADD104308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3FCF-6146-4B78-8F2C-5568078999A4}">
  <dimension ref="A1:M202"/>
  <sheetViews>
    <sheetView tabSelected="1" zoomScale="69" zoomScaleNormal="113" workbookViewId="0">
      <selection activeCell="S1" sqref="S1"/>
    </sheetView>
  </sheetViews>
  <sheetFormatPr defaultColWidth="6.77734375" defaultRowHeight="13.8" x14ac:dyDescent="0.25"/>
  <cols>
    <col min="1" max="1" width="6.77734375" style="1"/>
    <col min="2" max="2" width="16.77734375" style="1" customWidth="1"/>
    <col min="3" max="3" width="12.77734375" style="1" customWidth="1"/>
    <col min="4" max="5" width="16.77734375" style="1" customWidth="1"/>
    <col min="6" max="6" width="14.77734375" style="1" customWidth="1"/>
    <col min="7" max="7" width="20.77734375" style="1" customWidth="1"/>
    <col min="8" max="8" width="12.77734375" style="1" customWidth="1"/>
    <col min="9" max="9" width="14.77734375" style="1" customWidth="1"/>
    <col min="10" max="12" width="16.77734375" style="1" customWidth="1"/>
    <col min="13" max="13" width="15.77734375" style="1" customWidth="1"/>
    <col min="14" max="16384" width="6.77734375" style="1"/>
  </cols>
  <sheetData>
    <row r="1" spans="1:13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31</v>
      </c>
      <c r="J1" s="1" t="s">
        <v>30</v>
      </c>
      <c r="K1" s="1" t="s">
        <v>27</v>
      </c>
      <c r="L1" s="1" t="s">
        <v>28</v>
      </c>
      <c r="M1" s="1" t="s">
        <v>29</v>
      </c>
    </row>
    <row r="2" spans="1:13" x14ac:dyDescent="0.25">
      <c r="C2" s="3"/>
    </row>
    <row r="3" spans="1:13" x14ac:dyDescent="0.25">
      <c r="A3" s="2">
        <v>1</v>
      </c>
      <c r="B3" s="1">
        <v>1001</v>
      </c>
      <c r="C3" s="4">
        <v>45992</v>
      </c>
      <c r="D3" s="1" t="s">
        <v>9</v>
      </c>
      <c r="E3" s="1" t="s">
        <v>15</v>
      </c>
      <c r="F3" s="1" t="s">
        <v>17</v>
      </c>
      <c r="G3" s="1" t="s">
        <v>23</v>
      </c>
      <c r="H3" s="1">
        <v>3</v>
      </c>
      <c r="I3" s="1">
        <v>90000</v>
      </c>
      <c r="J3" s="1">
        <f>H3*I3</f>
        <v>270000</v>
      </c>
      <c r="K3" s="1" cm="1">
        <f t="array" ref="K3">J3 * _xlfn.SWITCH(I3, 90000, 78/90, 42000, 36/42, 25000, 21/25, 15000, 12.5/15, 0.7)</f>
        <v>234000</v>
      </c>
      <c r="L3" s="1">
        <f>J3-K3</f>
        <v>36000</v>
      </c>
      <c r="M3" s="1">
        <f>ROUND(L3/J3*100,2)</f>
        <v>13.33</v>
      </c>
    </row>
    <row r="4" spans="1:13" x14ac:dyDescent="0.25">
      <c r="A4" s="1">
        <v>2</v>
      </c>
      <c r="B4" s="1">
        <v>1002</v>
      </c>
      <c r="C4" s="4">
        <v>45992</v>
      </c>
      <c r="D4" s="1" t="s">
        <v>8</v>
      </c>
      <c r="E4" s="1" t="s">
        <v>15</v>
      </c>
      <c r="F4" s="1" t="s">
        <v>18</v>
      </c>
      <c r="G4" s="1" t="s">
        <v>23</v>
      </c>
      <c r="H4" s="1">
        <v>1</v>
      </c>
      <c r="I4" s="1">
        <v>42000</v>
      </c>
      <c r="J4" s="1">
        <f t="shared" ref="J4:J67" si="0">H4*I4</f>
        <v>42000</v>
      </c>
      <c r="K4" s="1" cm="1">
        <f t="array" ref="K4">J4 * _xlfn.SWITCH(I4, 90000, 78/90, 42000, 36/42, 25000, 21/25, 15000, 12.5/15, 0.7)</f>
        <v>36000</v>
      </c>
      <c r="L4" s="1">
        <f t="shared" ref="L4:L67" si="1">J4-K4</f>
        <v>6000</v>
      </c>
      <c r="M4" s="1">
        <f t="shared" ref="M4:M67" si="2">ROUND(L4/J4*100,2)</f>
        <v>14.29</v>
      </c>
    </row>
    <row r="5" spans="1:13" x14ac:dyDescent="0.25">
      <c r="A5" s="2">
        <v>3</v>
      </c>
      <c r="B5" s="1">
        <v>1003</v>
      </c>
      <c r="C5" s="4">
        <v>45992</v>
      </c>
      <c r="D5" s="1" t="s">
        <v>11</v>
      </c>
      <c r="E5" s="1" t="s">
        <v>15</v>
      </c>
      <c r="F5" s="1" t="s">
        <v>17</v>
      </c>
      <c r="G5" s="1" t="s">
        <v>24</v>
      </c>
      <c r="H5" s="1">
        <v>3</v>
      </c>
      <c r="I5" s="1">
        <v>15000</v>
      </c>
      <c r="J5" s="1">
        <f t="shared" si="0"/>
        <v>45000</v>
      </c>
      <c r="K5" s="1" cm="1">
        <f t="array" ref="K5">J5 * _xlfn.SWITCH(I5, 90000, 78/90, 42000, 36/42, 25000, 21/25, 15000, 12.5/15, 0.7)</f>
        <v>37500</v>
      </c>
      <c r="L5" s="1">
        <f t="shared" si="1"/>
        <v>7500</v>
      </c>
      <c r="M5" s="1">
        <f t="shared" si="2"/>
        <v>16.670000000000002</v>
      </c>
    </row>
    <row r="6" spans="1:13" x14ac:dyDescent="0.25">
      <c r="A6" s="1">
        <v>4</v>
      </c>
      <c r="B6" s="1">
        <v>1004</v>
      </c>
      <c r="C6" s="4">
        <v>45992</v>
      </c>
      <c r="D6" s="1" t="s">
        <v>9</v>
      </c>
      <c r="E6" s="1" t="s">
        <v>15</v>
      </c>
      <c r="F6" s="1" t="s">
        <v>19</v>
      </c>
      <c r="G6" s="1" t="s">
        <v>25</v>
      </c>
      <c r="H6" s="1">
        <v>1</v>
      </c>
      <c r="I6" s="1">
        <v>5000</v>
      </c>
      <c r="J6" s="1">
        <f t="shared" si="0"/>
        <v>5000</v>
      </c>
      <c r="K6" s="1" cm="1">
        <f t="array" ref="K6">J6 * _xlfn.SWITCH(I6, 90000, 78/90, 42000, 36/42, 25000, 21/25, 15000, 12.5/15, 0.7)</f>
        <v>3500</v>
      </c>
      <c r="L6" s="1">
        <f t="shared" si="1"/>
        <v>1500</v>
      </c>
      <c r="M6" s="1">
        <f t="shared" si="2"/>
        <v>30</v>
      </c>
    </row>
    <row r="7" spans="1:13" x14ac:dyDescent="0.25">
      <c r="A7" s="2">
        <v>5</v>
      </c>
      <c r="B7" s="1">
        <v>1005</v>
      </c>
      <c r="C7" s="4">
        <v>45992</v>
      </c>
      <c r="D7" s="1" t="s">
        <v>12</v>
      </c>
      <c r="E7" s="1" t="s">
        <v>15</v>
      </c>
      <c r="F7" s="1" t="s">
        <v>19</v>
      </c>
      <c r="G7" s="1" t="s">
        <v>26</v>
      </c>
      <c r="H7" s="1">
        <v>1</v>
      </c>
      <c r="I7" s="1">
        <v>90000</v>
      </c>
      <c r="J7" s="1">
        <f t="shared" si="0"/>
        <v>90000</v>
      </c>
      <c r="K7" s="1" cm="1">
        <f t="array" ref="K7">J7 * _xlfn.SWITCH(I7, 90000, 78/90, 42000, 36/42, 25000, 21/25, 15000, 12.5/15, 0.7)</f>
        <v>78000</v>
      </c>
      <c r="L7" s="1">
        <f t="shared" si="1"/>
        <v>12000</v>
      </c>
      <c r="M7" s="1">
        <f t="shared" si="2"/>
        <v>13.33</v>
      </c>
    </row>
    <row r="8" spans="1:13" x14ac:dyDescent="0.25">
      <c r="A8" s="1">
        <v>6</v>
      </c>
      <c r="B8" s="1">
        <v>1006</v>
      </c>
      <c r="C8" s="4">
        <v>45992</v>
      </c>
      <c r="D8" s="1" t="s">
        <v>12</v>
      </c>
      <c r="E8" s="1" t="s">
        <v>15</v>
      </c>
      <c r="F8" s="1" t="s">
        <v>20</v>
      </c>
      <c r="G8" s="1" t="s">
        <v>23</v>
      </c>
      <c r="H8" s="1">
        <v>2</v>
      </c>
      <c r="I8" s="1">
        <v>42000</v>
      </c>
      <c r="J8" s="1">
        <f t="shared" si="0"/>
        <v>84000</v>
      </c>
      <c r="K8" s="1" cm="1">
        <f t="array" ref="K8">J8 * _xlfn.SWITCH(I8, 90000, 78/90, 42000, 36/42, 25000, 21/25, 15000, 12.5/15, 0.7)</f>
        <v>72000</v>
      </c>
      <c r="L8" s="1">
        <f t="shared" si="1"/>
        <v>12000</v>
      </c>
      <c r="M8" s="1">
        <f t="shared" si="2"/>
        <v>14.29</v>
      </c>
    </row>
    <row r="9" spans="1:13" x14ac:dyDescent="0.25">
      <c r="A9" s="2">
        <v>7</v>
      </c>
      <c r="B9" s="1">
        <v>1007</v>
      </c>
      <c r="C9" s="4">
        <v>45992</v>
      </c>
      <c r="D9" s="1" t="s">
        <v>14</v>
      </c>
      <c r="E9" s="1" t="s">
        <v>16</v>
      </c>
      <c r="F9" s="1" t="s">
        <v>21</v>
      </c>
      <c r="G9" s="1" t="s">
        <v>26</v>
      </c>
      <c r="H9" s="1">
        <v>3</v>
      </c>
      <c r="I9" s="1">
        <v>3000</v>
      </c>
      <c r="J9" s="1">
        <f t="shared" si="0"/>
        <v>9000</v>
      </c>
      <c r="K9" s="1" cm="1">
        <f t="array" ref="K9">J9 * _xlfn.SWITCH(I9, 90000, 78/90, 42000, 36/42, 25000, 21/25, 15000, 12.5/15, 0.7)</f>
        <v>6300</v>
      </c>
      <c r="L9" s="1">
        <f t="shared" si="1"/>
        <v>2700</v>
      </c>
      <c r="M9" s="1">
        <f t="shared" si="2"/>
        <v>30</v>
      </c>
    </row>
    <row r="10" spans="1:13" x14ac:dyDescent="0.25">
      <c r="A10" s="1">
        <v>8</v>
      </c>
      <c r="B10" s="1">
        <v>1008</v>
      </c>
      <c r="C10" s="4">
        <v>45993</v>
      </c>
      <c r="D10" s="1" t="s">
        <v>14</v>
      </c>
      <c r="E10" s="1" t="s">
        <v>16</v>
      </c>
      <c r="F10" s="1" t="s">
        <v>18</v>
      </c>
      <c r="G10" s="1" t="s">
        <v>24</v>
      </c>
      <c r="H10" s="1">
        <v>3</v>
      </c>
      <c r="I10" s="1">
        <v>2000</v>
      </c>
      <c r="J10" s="1">
        <f t="shared" si="0"/>
        <v>6000</v>
      </c>
      <c r="K10" s="1" cm="1">
        <f t="array" ref="K10">J10 * _xlfn.SWITCH(I10, 90000, 78/90, 42000, 36/42, 25000, 21/25, 15000, 12.5/15, 0.7)</f>
        <v>4200</v>
      </c>
      <c r="L10" s="1">
        <f t="shared" si="1"/>
        <v>1800</v>
      </c>
      <c r="M10" s="1">
        <f t="shared" si="2"/>
        <v>30</v>
      </c>
    </row>
    <row r="11" spans="1:13" x14ac:dyDescent="0.25">
      <c r="A11" s="2">
        <v>9</v>
      </c>
      <c r="B11" s="1">
        <v>1009</v>
      </c>
      <c r="C11" s="4">
        <v>45993</v>
      </c>
      <c r="D11" s="1" t="s">
        <v>8</v>
      </c>
      <c r="E11" s="1" t="s">
        <v>15</v>
      </c>
      <c r="F11" s="1" t="s">
        <v>17</v>
      </c>
      <c r="G11" s="1" t="s">
        <v>25</v>
      </c>
      <c r="H11" s="1">
        <v>3</v>
      </c>
      <c r="I11" s="1">
        <v>42000</v>
      </c>
      <c r="J11" s="1">
        <f t="shared" si="0"/>
        <v>126000</v>
      </c>
      <c r="K11" s="1" cm="1">
        <f t="array" ref="K11">J11 * _xlfn.SWITCH(I11, 90000, 78/90, 42000, 36/42, 25000, 21/25, 15000, 12.5/15, 0.7)</f>
        <v>108000</v>
      </c>
      <c r="L11" s="1">
        <f t="shared" si="1"/>
        <v>18000</v>
      </c>
      <c r="M11" s="1">
        <f t="shared" si="2"/>
        <v>14.29</v>
      </c>
    </row>
    <row r="12" spans="1:13" x14ac:dyDescent="0.25">
      <c r="A12" s="1">
        <v>10</v>
      </c>
      <c r="B12" s="1">
        <v>1010</v>
      </c>
      <c r="C12" s="4">
        <v>45993</v>
      </c>
      <c r="D12" s="1" t="s">
        <v>11</v>
      </c>
      <c r="E12" s="1" t="s">
        <v>15</v>
      </c>
      <c r="F12" s="1" t="s">
        <v>17</v>
      </c>
      <c r="G12" s="1" t="s">
        <v>23</v>
      </c>
      <c r="H12" s="1">
        <v>2</v>
      </c>
      <c r="I12" s="1">
        <v>25000</v>
      </c>
      <c r="J12" s="1">
        <f t="shared" si="0"/>
        <v>50000</v>
      </c>
      <c r="K12" s="1" cm="1">
        <f t="array" ref="K12">J12 * _xlfn.SWITCH(I12, 90000, 78/90, 42000, 36/42, 25000, 21/25, 15000, 12.5/15, 0.7)</f>
        <v>42000</v>
      </c>
      <c r="L12" s="1">
        <f t="shared" si="1"/>
        <v>8000</v>
      </c>
      <c r="M12" s="1">
        <f t="shared" si="2"/>
        <v>16</v>
      </c>
    </row>
    <row r="13" spans="1:13" x14ac:dyDescent="0.25">
      <c r="A13" s="2">
        <v>11</v>
      </c>
      <c r="B13" s="1">
        <v>1011</v>
      </c>
      <c r="C13" s="4">
        <v>45994</v>
      </c>
      <c r="D13" s="1" t="s">
        <v>10</v>
      </c>
      <c r="E13" s="1" t="s">
        <v>15</v>
      </c>
      <c r="F13" s="1" t="s">
        <v>21</v>
      </c>
      <c r="G13" s="1" t="s">
        <v>26</v>
      </c>
      <c r="H13" s="1">
        <v>2</v>
      </c>
      <c r="I13" s="1">
        <v>3000</v>
      </c>
      <c r="J13" s="1">
        <f t="shared" si="0"/>
        <v>6000</v>
      </c>
      <c r="K13" s="1" cm="1">
        <f t="array" ref="K13">J13 * _xlfn.SWITCH(I13, 90000, 78/90, 42000, 36/42, 25000, 21/25, 15000, 12.5/15, 0.7)</f>
        <v>4200</v>
      </c>
      <c r="L13" s="1">
        <f t="shared" si="1"/>
        <v>1800</v>
      </c>
      <c r="M13" s="1">
        <f t="shared" si="2"/>
        <v>30</v>
      </c>
    </row>
    <row r="14" spans="1:13" x14ac:dyDescent="0.25">
      <c r="A14" s="1">
        <v>12</v>
      </c>
      <c r="B14" s="1">
        <v>1012</v>
      </c>
      <c r="C14" s="4">
        <v>45994</v>
      </c>
      <c r="D14" s="1" t="s">
        <v>12</v>
      </c>
      <c r="E14" s="1" t="s">
        <v>15</v>
      </c>
      <c r="F14" s="1" t="s">
        <v>18</v>
      </c>
      <c r="G14" s="1" t="s">
        <v>26</v>
      </c>
      <c r="H14" s="1">
        <v>1</v>
      </c>
      <c r="I14" s="1">
        <v>15000</v>
      </c>
      <c r="J14" s="1">
        <f t="shared" si="0"/>
        <v>15000</v>
      </c>
      <c r="K14" s="1" cm="1">
        <f t="array" ref="K14">J14 * _xlfn.SWITCH(I14, 90000, 78/90, 42000, 36/42, 25000, 21/25, 15000, 12.5/15, 0.7)</f>
        <v>12500</v>
      </c>
      <c r="L14" s="1">
        <f t="shared" si="1"/>
        <v>2500</v>
      </c>
      <c r="M14" s="1">
        <f t="shared" si="2"/>
        <v>16.670000000000002</v>
      </c>
    </row>
    <row r="15" spans="1:13" x14ac:dyDescent="0.25">
      <c r="A15" s="2">
        <v>13</v>
      </c>
      <c r="B15" s="1">
        <v>1013</v>
      </c>
      <c r="C15" s="4">
        <v>45994</v>
      </c>
      <c r="D15" s="1" t="s">
        <v>14</v>
      </c>
      <c r="E15" s="1" t="s">
        <v>16</v>
      </c>
      <c r="F15" s="1" t="s">
        <v>20</v>
      </c>
      <c r="G15" s="1" t="s">
        <v>24</v>
      </c>
      <c r="H15" s="1">
        <v>2</v>
      </c>
      <c r="I15" s="1">
        <v>42000</v>
      </c>
      <c r="J15" s="1">
        <f t="shared" si="0"/>
        <v>84000</v>
      </c>
      <c r="K15" s="1" cm="1">
        <f t="array" ref="K15">J15 * _xlfn.SWITCH(I15, 90000, 78/90, 42000, 36/42, 25000, 21/25, 15000, 12.5/15, 0.7)</f>
        <v>72000</v>
      </c>
      <c r="L15" s="1">
        <f t="shared" si="1"/>
        <v>12000</v>
      </c>
      <c r="M15" s="1">
        <f t="shared" si="2"/>
        <v>14.29</v>
      </c>
    </row>
    <row r="16" spans="1:13" x14ac:dyDescent="0.25">
      <c r="A16" s="1">
        <v>14</v>
      </c>
      <c r="B16" s="1">
        <v>1014</v>
      </c>
      <c r="C16" s="4">
        <v>45995</v>
      </c>
      <c r="D16" s="1" t="s">
        <v>10</v>
      </c>
      <c r="E16" s="1" t="s">
        <v>15</v>
      </c>
      <c r="F16" s="1" t="s">
        <v>22</v>
      </c>
      <c r="G16" s="1" t="s">
        <v>25</v>
      </c>
      <c r="H16" s="1">
        <v>3</v>
      </c>
      <c r="I16" s="1">
        <v>90000</v>
      </c>
      <c r="J16" s="1">
        <f t="shared" si="0"/>
        <v>270000</v>
      </c>
      <c r="K16" s="1" cm="1">
        <f t="array" ref="K16">J16 * _xlfn.SWITCH(I16, 90000, 78/90, 42000, 36/42, 25000, 21/25, 15000, 12.5/15, 0.7)</f>
        <v>234000</v>
      </c>
      <c r="L16" s="1">
        <f t="shared" si="1"/>
        <v>36000</v>
      </c>
      <c r="M16" s="1">
        <f t="shared" si="2"/>
        <v>13.33</v>
      </c>
    </row>
    <row r="17" spans="1:13" x14ac:dyDescent="0.25">
      <c r="A17" s="2">
        <v>15</v>
      </c>
      <c r="B17" s="1">
        <v>1015</v>
      </c>
      <c r="C17" s="4">
        <v>45995</v>
      </c>
      <c r="D17" s="1" t="s">
        <v>9</v>
      </c>
      <c r="E17" s="1" t="s">
        <v>15</v>
      </c>
      <c r="F17" s="1" t="s">
        <v>18</v>
      </c>
      <c r="G17" s="1" t="s">
        <v>23</v>
      </c>
      <c r="H17" s="1">
        <v>3</v>
      </c>
      <c r="I17" s="1">
        <v>42000</v>
      </c>
      <c r="J17" s="1">
        <f t="shared" si="0"/>
        <v>126000</v>
      </c>
      <c r="K17" s="1" cm="1">
        <f t="array" ref="K17">J17 * _xlfn.SWITCH(I17, 90000, 78/90, 42000, 36/42, 25000, 21/25, 15000, 12.5/15, 0.7)</f>
        <v>108000</v>
      </c>
      <c r="L17" s="1">
        <f t="shared" si="1"/>
        <v>18000</v>
      </c>
      <c r="M17" s="1">
        <f t="shared" si="2"/>
        <v>14.29</v>
      </c>
    </row>
    <row r="18" spans="1:13" x14ac:dyDescent="0.25">
      <c r="A18" s="1">
        <v>16</v>
      </c>
      <c r="B18" s="1">
        <v>1016</v>
      </c>
      <c r="C18" s="4">
        <v>45995</v>
      </c>
      <c r="D18" s="1" t="s">
        <v>10</v>
      </c>
      <c r="E18" s="1" t="s">
        <v>15</v>
      </c>
      <c r="F18" s="1" t="s">
        <v>17</v>
      </c>
      <c r="G18" s="1" t="s">
        <v>26</v>
      </c>
      <c r="H18" s="1">
        <v>3</v>
      </c>
      <c r="I18" s="1">
        <v>5000</v>
      </c>
      <c r="J18" s="1">
        <f t="shared" si="0"/>
        <v>15000</v>
      </c>
      <c r="K18" s="1" cm="1">
        <f t="array" ref="K18">J18 * _xlfn.SWITCH(I18, 90000, 78/90, 42000, 36/42, 25000, 21/25, 15000, 12.5/15, 0.7)</f>
        <v>10500</v>
      </c>
      <c r="L18" s="1">
        <f t="shared" si="1"/>
        <v>4500</v>
      </c>
      <c r="M18" s="1">
        <f t="shared" si="2"/>
        <v>30</v>
      </c>
    </row>
    <row r="19" spans="1:13" x14ac:dyDescent="0.25">
      <c r="A19" s="2">
        <v>17</v>
      </c>
      <c r="B19" s="1">
        <v>1017</v>
      </c>
      <c r="C19" s="4">
        <v>45995</v>
      </c>
      <c r="D19" s="1" t="s">
        <v>11</v>
      </c>
      <c r="E19" s="1" t="s">
        <v>15</v>
      </c>
      <c r="F19" s="1" t="s">
        <v>22</v>
      </c>
      <c r="G19" s="1" t="s">
        <v>26</v>
      </c>
      <c r="H19" s="1">
        <v>2</v>
      </c>
      <c r="I19" s="1">
        <v>42000</v>
      </c>
      <c r="J19" s="1">
        <f t="shared" si="0"/>
        <v>84000</v>
      </c>
      <c r="K19" s="1" cm="1">
        <f t="array" ref="K19">J19 * _xlfn.SWITCH(I19, 90000, 78/90, 42000, 36/42, 25000, 21/25, 15000, 12.5/15, 0.7)</f>
        <v>72000</v>
      </c>
      <c r="L19" s="1">
        <f t="shared" si="1"/>
        <v>12000</v>
      </c>
      <c r="M19" s="1">
        <f t="shared" si="2"/>
        <v>14.29</v>
      </c>
    </row>
    <row r="20" spans="1:13" x14ac:dyDescent="0.25">
      <c r="A20" s="1">
        <v>18</v>
      </c>
      <c r="B20" s="1">
        <v>1018</v>
      </c>
      <c r="C20" s="4">
        <v>45996</v>
      </c>
      <c r="D20" s="1" t="s">
        <v>13</v>
      </c>
      <c r="E20" s="1" t="s">
        <v>16</v>
      </c>
      <c r="F20" s="1" t="s">
        <v>20</v>
      </c>
      <c r="G20" s="1" t="s">
        <v>23</v>
      </c>
      <c r="H20" s="1">
        <v>3</v>
      </c>
      <c r="I20" s="1">
        <v>2000</v>
      </c>
      <c r="J20" s="1">
        <f t="shared" si="0"/>
        <v>6000</v>
      </c>
      <c r="K20" s="1" cm="1">
        <f t="array" ref="K20">J20 * _xlfn.SWITCH(I20, 90000, 78/90, 42000, 36/42, 25000, 21/25, 15000, 12.5/15, 0.7)</f>
        <v>4200</v>
      </c>
      <c r="L20" s="1">
        <f t="shared" si="1"/>
        <v>1800</v>
      </c>
      <c r="M20" s="1">
        <f t="shared" si="2"/>
        <v>30</v>
      </c>
    </row>
    <row r="21" spans="1:13" x14ac:dyDescent="0.25">
      <c r="A21" s="2">
        <v>19</v>
      </c>
      <c r="B21" s="1">
        <v>1019</v>
      </c>
      <c r="C21" s="4">
        <v>45996</v>
      </c>
      <c r="D21" s="1" t="s">
        <v>14</v>
      </c>
      <c r="E21" s="1" t="s">
        <v>16</v>
      </c>
      <c r="F21" s="1" t="s">
        <v>21</v>
      </c>
      <c r="G21" s="1" t="s">
        <v>24</v>
      </c>
      <c r="H21" s="1">
        <v>1</v>
      </c>
      <c r="I21" s="1">
        <v>90000</v>
      </c>
      <c r="J21" s="1">
        <f t="shared" si="0"/>
        <v>90000</v>
      </c>
      <c r="K21" s="1" cm="1">
        <f t="array" ref="K21">J21 * _xlfn.SWITCH(I21, 90000, 78/90, 42000, 36/42, 25000, 21/25, 15000, 12.5/15, 0.7)</f>
        <v>78000</v>
      </c>
      <c r="L21" s="1">
        <f t="shared" si="1"/>
        <v>12000</v>
      </c>
      <c r="M21" s="1">
        <f t="shared" si="2"/>
        <v>13.33</v>
      </c>
    </row>
    <row r="22" spans="1:13" x14ac:dyDescent="0.25">
      <c r="A22" s="1">
        <v>20</v>
      </c>
      <c r="B22" s="1">
        <v>1020</v>
      </c>
      <c r="C22" s="4">
        <v>45997</v>
      </c>
      <c r="D22" s="1" t="s">
        <v>14</v>
      </c>
      <c r="E22" s="1" t="s">
        <v>16</v>
      </c>
      <c r="F22" s="1" t="s">
        <v>18</v>
      </c>
      <c r="G22" s="1" t="s">
        <v>23</v>
      </c>
      <c r="H22" s="1">
        <v>3</v>
      </c>
      <c r="I22" s="1">
        <v>5000</v>
      </c>
      <c r="J22" s="1">
        <f t="shared" si="0"/>
        <v>15000</v>
      </c>
      <c r="K22" s="1" cm="1">
        <f t="array" ref="K22">J22 * _xlfn.SWITCH(I22, 90000, 78/90, 42000, 36/42, 25000, 21/25, 15000, 12.5/15, 0.7)</f>
        <v>10500</v>
      </c>
      <c r="L22" s="1">
        <f t="shared" si="1"/>
        <v>4500</v>
      </c>
      <c r="M22" s="1">
        <f t="shared" si="2"/>
        <v>30</v>
      </c>
    </row>
    <row r="23" spans="1:13" x14ac:dyDescent="0.25">
      <c r="A23" s="2">
        <v>21</v>
      </c>
      <c r="B23" s="1">
        <v>1021</v>
      </c>
      <c r="C23" s="4">
        <v>45998</v>
      </c>
      <c r="D23" s="1" t="s">
        <v>9</v>
      </c>
      <c r="E23" s="1" t="s">
        <v>15</v>
      </c>
      <c r="F23" s="1" t="str">
        <f ca="1">CHOOSE(RANDBETWEEN(1,6), "Mumbai", "Delhi", "Banglore", "Pune", "Hyderabad", "Dehradun")</f>
        <v>Hyderabad</v>
      </c>
      <c r="G23" s="1" t="str">
        <f ca="1">CHOOSE(RANDBETWEEN(1,4), "Priya", "Aman", "Rahul", "Simran")</f>
        <v>Simran</v>
      </c>
      <c r="H23" s="1">
        <v>3</v>
      </c>
      <c r="I23" s="1">
        <f>VLOOKUP(D22, $D$3:$I$21, 6, FALSE)</f>
        <v>3000</v>
      </c>
      <c r="J23" s="1">
        <f t="shared" si="0"/>
        <v>9000</v>
      </c>
      <c r="K23" s="1" cm="1">
        <f t="array" ref="K23">J23 * _xlfn.SWITCH(I23, 90000, 78/90, 42000, 36/42, 25000, 21/25, 15000, 12.5/15, 0.7)</f>
        <v>6300</v>
      </c>
      <c r="L23" s="1">
        <f t="shared" si="1"/>
        <v>2700</v>
      </c>
      <c r="M23" s="1">
        <f t="shared" si="2"/>
        <v>30</v>
      </c>
    </row>
    <row r="24" spans="1:13" x14ac:dyDescent="0.25">
      <c r="A24" s="1">
        <v>22</v>
      </c>
      <c r="B24" s="1">
        <v>1022</v>
      </c>
      <c r="C24" s="4">
        <v>45998</v>
      </c>
      <c r="D24" s="1" t="s">
        <v>10</v>
      </c>
      <c r="E24" s="1" t="s">
        <v>15</v>
      </c>
      <c r="F24" s="1" t="str">
        <f t="shared" ref="F24:F87" ca="1" si="3">CHOOSE(RANDBETWEEN(1,6), "Mumbai", "Delhi", "Banglore", "Pune", "Hyderabad", "Dehradun")</f>
        <v>Dehradun</v>
      </c>
      <c r="G24" s="1" t="str">
        <f t="shared" ref="G24:G87" ca="1" si="4">CHOOSE(RANDBETWEEN(1,4), "Priya", "Aman", "Rahul", "Simran")</f>
        <v>Aman</v>
      </c>
      <c r="H24" s="1">
        <v>2</v>
      </c>
      <c r="I24" s="1">
        <f t="shared" ref="I24:I87" si="5">VLOOKUP(D23, $D$3:$I$21, 6, FALSE)</f>
        <v>90000</v>
      </c>
      <c r="J24" s="1">
        <f t="shared" si="0"/>
        <v>180000</v>
      </c>
      <c r="K24" s="1" cm="1">
        <f t="array" ref="K24">J24 * _xlfn.SWITCH(I24, 90000, 78/90, 42000, 36/42, 25000, 21/25, 15000, 12.5/15, 0.7)</f>
        <v>156000</v>
      </c>
      <c r="L24" s="1">
        <f t="shared" si="1"/>
        <v>24000</v>
      </c>
      <c r="M24" s="1">
        <f t="shared" si="2"/>
        <v>13.33</v>
      </c>
    </row>
    <row r="25" spans="1:13" x14ac:dyDescent="0.25">
      <c r="A25" s="2">
        <v>23</v>
      </c>
      <c r="B25" s="1">
        <v>1023</v>
      </c>
      <c r="C25" s="4">
        <v>45998</v>
      </c>
      <c r="D25" s="1" t="s">
        <v>14</v>
      </c>
      <c r="E25" s="1" t="s">
        <v>16</v>
      </c>
      <c r="F25" s="1" t="str">
        <f t="shared" ca="1" si="3"/>
        <v>Dehradun</v>
      </c>
      <c r="G25" s="1" t="str">
        <f t="shared" ca="1" si="4"/>
        <v>Priya</v>
      </c>
      <c r="H25" s="1">
        <v>1</v>
      </c>
      <c r="I25" s="1">
        <f t="shared" si="5"/>
        <v>3000</v>
      </c>
      <c r="J25" s="1">
        <f t="shared" si="0"/>
        <v>3000</v>
      </c>
      <c r="K25" s="1" cm="1">
        <f t="array" ref="K25">J25 * _xlfn.SWITCH(I25, 90000, 78/90, 42000, 36/42, 25000, 21/25, 15000, 12.5/15, 0.7)</f>
        <v>2100</v>
      </c>
      <c r="L25" s="1">
        <f t="shared" si="1"/>
        <v>900</v>
      </c>
      <c r="M25" s="1">
        <f t="shared" si="2"/>
        <v>30</v>
      </c>
    </row>
    <row r="26" spans="1:13" x14ac:dyDescent="0.25">
      <c r="A26" s="1">
        <v>24</v>
      </c>
      <c r="B26" s="1">
        <v>1024</v>
      </c>
      <c r="C26" s="4">
        <v>45998</v>
      </c>
      <c r="D26" s="1" t="s">
        <v>8</v>
      </c>
      <c r="E26" s="1" t="s">
        <v>15</v>
      </c>
      <c r="F26" s="1" t="str">
        <f t="shared" ca="1" si="3"/>
        <v>Mumbai</v>
      </c>
      <c r="G26" s="1" t="str">
        <f t="shared" ca="1" si="4"/>
        <v>Simran</v>
      </c>
      <c r="H26" s="1">
        <v>3</v>
      </c>
      <c r="I26" s="1">
        <f t="shared" si="5"/>
        <v>3000</v>
      </c>
      <c r="J26" s="1">
        <f t="shared" si="0"/>
        <v>9000</v>
      </c>
      <c r="K26" s="1" cm="1">
        <f t="array" ref="K26">J26 * _xlfn.SWITCH(I26, 90000, 78/90, 42000, 36/42, 25000, 21/25, 15000, 12.5/15, 0.7)</f>
        <v>6300</v>
      </c>
      <c r="L26" s="1">
        <f t="shared" si="1"/>
        <v>2700</v>
      </c>
      <c r="M26" s="1">
        <f t="shared" si="2"/>
        <v>30</v>
      </c>
    </row>
    <row r="27" spans="1:13" x14ac:dyDescent="0.25">
      <c r="A27" s="2">
        <v>25</v>
      </c>
      <c r="B27" s="1">
        <v>1025</v>
      </c>
      <c r="C27" s="4">
        <v>45998</v>
      </c>
      <c r="D27" s="1" t="s">
        <v>11</v>
      </c>
      <c r="E27" s="1" t="s">
        <v>15</v>
      </c>
      <c r="F27" s="1" t="str">
        <f t="shared" ca="1" si="3"/>
        <v>Dehradun</v>
      </c>
      <c r="G27" s="1" t="str">
        <f t="shared" ca="1" si="4"/>
        <v>Simran</v>
      </c>
      <c r="H27" s="1">
        <v>2</v>
      </c>
      <c r="I27" s="1">
        <f t="shared" si="5"/>
        <v>42000</v>
      </c>
      <c r="J27" s="1">
        <f t="shared" si="0"/>
        <v>84000</v>
      </c>
      <c r="K27" s="1" cm="1">
        <f t="array" ref="K27">J27 * _xlfn.SWITCH(I27, 90000, 78/90, 42000, 36/42, 25000, 21/25, 15000, 12.5/15, 0.7)</f>
        <v>72000</v>
      </c>
      <c r="L27" s="1">
        <f t="shared" si="1"/>
        <v>12000</v>
      </c>
      <c r="M27" s="1">
        <f t="shared" si="2"/>
        <v>14.29</v>
      </c>
    </row>
    <row r="28" spans="1:13" x14ac:dyDescent="0.25">
      <c r="A28" s="1">
        <v>26</v>
      </c>
      <c r="B28" s="1">
        <v>1026</v>
      </c>
      <c r="C28" s="4">
        <v>45998</v>
      </c>
      <c r="D28" s="1" t="s">
        <v>9</v>
      </c>
      <c r="E28" s="1" t="s">
        <v>15</v>
      </c>
      <c r="F28" s="1" t="str">
        <f t="shared" ca="1" si="3"/>
        <v>Delhi</v>
      </c>
      <c r="G28" s="1" t="str">
        <f t="shared" ca="1" si="4"/>
        <v>Rahul</v>
      </c>
      <c r="H28" s="1">
        <v>3</v>
      </c>
      <c r="I28" s="1">
        <f t="shared" si="5"/>
        <v>15000</v>
      </c>
      <c r="J28" s="1">
        <f t="shared" si="0"/>
        <v>45000</v>
      </c>
      <c r="K28" s="1" cm="1">
        <f t="array" ref="K28">J28 * _xlfn.SWITCH(I28, 90000, 78/90, 42000, 36/42, 25000, 21/25, 15000, 12.5/15, 0.7)</f>
        <v>37500</v>
      </c>
      <c r="L28" s="1">
        <f t="shared" si="1"/>
        <v>7500</v>
      </c>
      <c r="M28" s="1">
        <f t="shared" si="2"/>
        <v>16.670000000000002</v>
      </c>
    </row>
    <row r="29" spans="1:13" x14ac:dyDescent="0.25">
      <c r="A29" s="2">
        <v>27</v>
      </c>
      <c r="B29" s="1">
        <v>1027</v>
      </c>
      <c r="C29" s="4">
        <v>45998</v>
      </c>
      <c r="D29" s="1" t="s">
        <v>11</v>
      </c>
      <c r="E29" s="1" t="s">
        <v>15</v>
      </c>
      <c r="F29" s="1" t="str">
        <f t="shared" ca="1" si="3"/>
        <v>Banglore</v>
      </c>
      <c r="G29" s="1" t="str">
        <f t="shared" ca="1" si="4"/>
        <v>Priya</v>
      </c>
      <c r="H29" s="1">
        <v>1</v>
      </c>
      <c r="I29" s="1">
        <f t="shared" si="5"/>
        <v>90000</v>
      </c>
      <c r="J29" s="1">
        <f t="shared" si="0"/>
        <v>90000</v>
      </c>
      <c r="K29" s="1" cm="1">
        <f t="array" ref="K29">J29 * _xlfn.SWITCH(I29, 90000, 78/90, 42000, 36/42, 25000, 21/25, 15000, 12.5/15, 0.7)</f>
        <v>78000</v>
      </c>
      <c r="L29" s="1">
        <f t="shared" si="1"/>
        <v>12000</v>
      </c>
      <c r="M29" s="1">
        <f t="shared" si="2"/>
        <v>13.33</v>
      </c>
    </row>
    <row r="30" spans="1:13" x14ac:dyDescent="0.25">
      <c r="A30" s="1">
        <v>28</v>
      </c>
      <c r="B30" s="1">
        <v>1028</v>
      </c>
      <c r="C30" s="4">
        <v>45999</v>
      </c>
      <c r="D30" s="1" t="s">
        <v>12</v>
      </c>
      <c r="E30" s="1" t="s">
        <v>15</v>
      </c>
      <c r="F30" s="1" t="str">
        <f t="shared" ca="1" si="3"/>
        <v>Delhi</v>
      </c>
      <c r="G30" s="1" t="str">
        <f t="shared" ca="1" si="4"/>
        <v>Simran</v>
      </c>
      <c r="H30" s="1">
        <v>2</v>
      </c>
      <c r="I30" s="1">
        <f t="shared" si="5"/>
        <v>15000</v>
      </c>
      <c r="J30" s="1">
        <f t="shared" si="0"/>
        <v>30000</v>
      </c>
      <c r="K30" s="1" cm="1">
        <f t="array" ref="K30">J30 * _xlfn.SWITCH(I30, 90000, 78/90, 42000, 36/42, 25000, 21/25, 15000, 12.5/15, 0.7)</f>
        <v>25000</v>
      </c>
      <c r="L30" s="1">
        <f t="shared" si="1"/>
        <v>5000</v>
      </c>
      <c r="M30" s="1">
        <f t="shared" si="2"/>
        <v>16.670000000000002</v>
      </c>
    </row>
    <row r="31" spans="1:13" x14ac:dyDescent="0.25">
      <c r="A31" s="2">
        <v>29</v>
      </c>
      <c r="B31" s="1">
        <v>1029</v>
      </c>
      <c r="C31" s="4">
        <v>45999</v>
      </c>
      <c r="D31" s="1" t="s">
        <v>10</v>
      </c>
      <c r="E31" s="1" t="s">
        <v>15</v>
      </c>
      <c r="F31" s="1" t="str">
        <f t="shared" ca="1" si="3"/>
        <v>Mumbai</v>
      </c>
      <c r="G31" s="1" t="str">
        <f t="shared" ca="1" si="4"/>
        <v>Aman</v>
      </c>
      <c r="H31" s="1">
        <v>3</v>
      </c>
      <c r="I31" s="1">
        <f t="shared" si="5"/>
        <v>90000</v>
      </c>
      <c r="J31" s="1">
        <f t="shared" si="0"/>
        <v>270000</v>
      </c>
      <c r="K31" s="1" cm="1">
        <f t="array" ref="K31">J31 * _xlfn.SWITCH(I31, 90000, 78/90, 42000, 36/42, 25000, 21/25, 15000, 12.5/15, 0.7)</f>
        <v>234000</v>
      </c>
      <c r="L31" s="1">
        <f t="shared" si="1"/>
        <v>36000</v>
      </c>
      <c r="M31" s="1">
        <f t="shared" si="2"/>
        <v>13.33</v>
      </c>
    </row>
    <row r="32" spans="1:13" x14ac:dyDescent="0.25">
      <c r="A32" s="1">
        <v>30</v>
      </c>
      <c r="B32" s="1">
        <v>1030</v>
      </c>
      <c r="C32" s="4">
        <v>45999</v>
      </c>
      <c r="D32" s="1" t="s">
        <v>9</v>
      </c>
      <c r="E32" s="1" t="s">
        <v>15</v>
      </c>
      <c r="F32" s="1" t="str">
        <f t="shared" ca="1" si="3"/>
        <v>Pune</v>
      </c>
      <c r="G32" s="1" t="str">
        <f t="shared" ca="1" si="4"/>
        <v>Simran</v>
      </c>
      <c r="H32" s="1">
        <v>2</v>
      </c>
      <c r="I32" s="1">
        <f t="shared" si="5"/>
        <v>3000</v>
      </c>
      <c r="J32" s="1">
        <f t="shared" si="0"/>
        <v>6000</v>
      </c>
      <c r="K32" s="1" cm="1">
        <f t="array" ref="K32">J32 * _xlfn.SWITCH(I32, 90000, 78/90, 42000, 36/42, 25000, 21/25, 15000, 12.5/15, 0.7)</f>
        <v>4200</v>
      </c>
      <c r="L32" s="1">
        <f t="shared" si="1"/>
        <v>1800</v>
      </c>
      <c r="M32" s="1">
        <f t="shared" si="2"/>
        <v>30</v>
      </c>
    </row>
    <row r="33" spans="1:13" x14ac:dyDescent="0.25">
      <c r="A33" s="2">
        <v>31</v>
      </c>
      <c r="B33" s="1">
        <v>1031</v>
      </c>
      <c r="C33" s="4">
        <v>45999</v>
      </c>
      <c r="D33" s="1" t="s">
        <v>10</v>
      </c>
      <c r="E33" s="1" t="s">
        <v>15</v>
      </c>
      <c r="F33" s="1" t="str">
        <f t="shared" ca="1" si="3"/>
        <v>Delhi</v>
      </c>
      <c r="G33" s="1" t="str">
        <f t="shared" ca="1" si="4"/>
        <v>Rahul</v>
      </c>
      <c r="H33" s="1">
        <v>3</v>
      </c>
      <c r="I33" s="1">
        <f t="shared" si="5"/>
        <v>90000</v>
      </c>
      <c r="J33" s="1">
        <f t="shared" si="0"/>
        <v>270000</v>
      </c>
      <c r="K33" s="1" cm="1">
        <f t="array" ref="K33">J33 * _xlfn.SWITCH(I33, 90000, 78/90, 42000, 36/42, 25000, 21/25, 15000, 12.5/15, 0.7)</f>
        <v>234000</v>
      </c>
      <c r="L33" s="1">
        <f t="shared" si="1"/>
        <v>36000</v>
      </c>
      <c r="M33" s="1">
        <f t="shared" si="2"/>
        <v>13.33</v>
      </c>
    </row>
    <row r="34" spans="1:13" x14ac:dyDescent="0.25">
      <c r="A34" s="1">
        <v>32</v>
      </c>
      <c r="B34" s="1">
        <v>1032</v>
      </c>
      <c r="C34" s="4">
        <v>45999</v>
      </c>
      <c r="D34" s="1" t="s">
        <v>10</v>
      </c>
      <c r="E34" s="1" t="s">
        <v>15</v>
      </c>
      <c r="F34" s="1" t="str">
        <f t="shared" ca="1" si="3"/>
        <v>Delhi</v>
      </c>
      <c r="G34" s="1" t="str">
        <f t="shared" ca="1" si="4"/>
        <v>Aman</v>
      </c>
      <c r="H34" s="1">
        <v>1</v>
      </c>
      <c r="I34" s="1">
        <f t="shared" si="5"/>
        <v>3000</v>
      </c>
      <c r="J34" s="1">
        <f t="shared" si="0"/>
        <v>3000</v>
      </c>
      <c r="K34" s="1" cm="1">
        <f t="array" ref="K34">J34 * _xlfn.SWITCH(I34, 90000, 78/90, 42000, 36/42, 25000, 21/25, 15000, 12.5/15, 0.7)</f>
        <v>2100</v>
      </c>
      <c r="L34" s="1">
        <f t="shared" si="1"/>
        <v>900</v>
      </c>
      <c r="M34" s="1">
        <f t="shared" si="2"/>
        <v>30</v>
      </c>
    </row>
    <row r="35" spans="1:13" x14ac:dyDescent="0.25">
      <c r="A35" s="2">
        <v>33</v>
      </c>
      <c r="B35" s="1">
        <v>1033</v>
      </c>
      <c r="C35" s="4">
        <v>46000</v>
      </c>
      <c r="D35" s="1" t="s">
        <v>9</v>
      </c>
      <c r="E35" s="1" t="s">
        <v>15</v>
      </c>
      <c r="F35" s="1" t="str">
        <f t="shared" ca="1" si="3"/>
        <v>Pune</v>
      </c>
      <c r="G35" s="1" t="str">
        <f t="shared" ca="1" si="4"/>
        <v>Simran</v>
      </c>
      <c r="H35" s="1">
        <v>3</v>
      </c>
      <c r="I35" s="1">
        <f t="shared" si="5"/>
        <v>3000</v>
      </c>
      <c r="J35" s="1">
        <f t="shared" si="0"/>
        <v>9000</v>
      </c>
      <c r="K35" s="1" cm="1">
        <f t="array" ref="K35">J35 * _xlfn.SWITCH(I35, 90000, 78/90, 42000, 36/42, 25000, 21/25, 15000, 12.5/15, 0.7)</f>
        <v>6300</v>
      </c>
      <c r="L35" s="1">
        <f t="shared" si="1"/>
        <v>2700</v>
      </c>
      <c r="M35" s="1">
        <f t="shared" si="2"/>
        <v>30</v>
      </c>
    </row>
    <row r="36" spans="1:13" x14ac:dyDescent="0.25">
      <c r="A36" s="1">
        <v>34</v>
      </c>
      <c r="B36" s="1">
        <v>1034</v>
      </c>
      <c r="C36" s="4">
        <v>46001</v>
      </c>
      <c r="D36" s="1" t="s">
        <v>12</v>
      </c>
      <c r="E36" s="1" t="s">
        <v>15</v>
      </c>
      <c r="F36" s="1" t="str">
        <f t="shared" ca="1" si="3"/>
        <v>Pune</v>
      </c>
      <c r="G36" s="1" t="str">
        <f t="shared" ca="1" si="4"/>
        <v>Aman</v>
      </c>
      <c r="H36" s="1">
        <v>1</v>
      </c>
      <c r="I36" s="1">
        <f t="shared" si="5"/>
        <v>90000</v>
      </c>
      <c r="J36" s="1">
        <f t="shared" si="0"/>
        <v>90000</v>
      </c>
      <c r="K36" s="1" cm="1">
        <f t="array" ref="K36">J36 * _xlfn.SWITCH(I36, 90000, 78/90, 42000, 36/42, 25000, 21/25, 15000, 12.5/15, 0.7)</f>
        <v>78000</v>
      </c>
      <c r="L36" s="1">
        <f t="shared" si="1"/>
        <v>12000</v>
      </c>
      <c r="M36" s="1">
        <f t="shared" si="2"/>
        <v>13.33</v>
      </c>
    </row>
    <row r="37" spans="1:13" x14ac:dyDescent="0.25">
      <c r="A37" s="2">
        <v>35</v>
      </c>
      <c r="B37" s="1">
        <v>1035</v>
      </c>
      <c r="C37" s="4">
        <v>46001</v>
      </c>
      <c r="D37" s="1" t="s">
        <v>11</v>
      </c>
      <c r="E37" s="1" t="s">
        <v>15</v>
      </c>
      <c r="F37" s="1" t="str">
        <f t="shared" ca="1" si="3"/>
        <v>Mumbai</v>
      </c>
      <c r="G37" s="1" t="str">
        <f t="shared" ca="1" si="4"/>
        <v>Aman</v>
      </c>
      <c r="H37" s="1">
        <v>1</v>
      </c>
      <c r="I37" s="1">
        <f t="shared" si="5"/>
        <v>90000</v>
      </c>
      <c r="J37" s="1">
        <f t="shared" si="0"/>
        <v>90000</v>
      </c>
      <c r="K37" s="1" cm="1">
        <f t="array" ref="K37">J37 * _xlfn.SWITCH(I37, 90000, 78/90, 42000, 36/42, 25000, 21/25, 15000, 12.5/15, 0.7)</f>
        <v>78000</v>
      </c>
      <c r="L37" s="1">
        <f t="shared" si="1"/>
        <v>12000</v>
      </c>
      <c r="M37" s="1">
        <f t="shared" si="2"/>
        <v>13.33</v>
      </c>
    </row>
    <row r="38" spans="1:13" x14ac:dyDescent="0.25">
      <c r="A38" s="1">
        <v>36</v>
      </c>
      <c r="B38" s="1">
        <v>1036</v>
      </c>
      <c r="C38" s="4">
        <v>46001</v>
      </c>
      <c r="D38" s="1" t="s">
        <v>11</v>
      </c>
      <c r="E38" s="1" t="s">
        <v>15</v>
      </c>
      <c r="F38" s="1" t="str">
        <f t="shared" ca="1" si="3"/>
        <v>Delhi</v>
      </c>
      <c r="G38" s="1" t="str">
        <f t="shared" ca="1" si="4"/>
        <v>Priya</v>
      </c>
      <c r="H38" s="1">
        <v>3</v>
      </c>
      <c r="I38" s="1">
        <f t="shared" si="5"/>
        <v>15000</v>
      </c>
      <c r="J38" s="1">
        <f t="shared" si="0"/>
        <v>45000</v>
      </c>
      <c r="K38" s="1" cm="1">
        <f t="array" ref="K38">J38 * _xlfn.SWITCH(I38, 90000, 78/90, 42000, 36/42, 25000, 21/25, 15000, 12.5/15, 0.7)</f>
        <v>37500</v>
      </c>
      <c r="L38" s="1">
        <f t="shared" si="1"/>
        <v>7500</v>
      </c>
      <c r="M38" s="1">
        <f t="shared" si="2"/>
        <v>16.670000000000002</v>
      </c>
    </row>
    <row r="39" spans="1:13" x14ac:dyDescent="0.25">
      <c r="A39" s="2">
        <v>37</v>
      </c>
      <c r="B39" s="1">
        <v>1037</v>
      </c>
      <c r="C39" s="4">
        <v>46002</v>
      </c>
      <c r="D39" s="1" t="s">
        <v>14</v>
      </c>
      <c r="E39" s="1" t="s">
        <v>16</v>
      </c>
      <c r="F39" s="1" t="str">
        <f t="shared" ca="1" si="3"/>
        <v>Dehradun</v>
      </c>
      <c r="G39" s="1" t="str">
        <f t="shared" ca="1" si="4"/>
        <v>Simran</v>
      </c>
      <c r="H39" s="1">
        <v>3</v>
      </c>
      <c r="I39" s="1">
        <f t="shared" si="5"/>
        <v>15000</v>
      </c>
      <c r="J39" s="1">
        <f t="shared" si="0"/>
        <v>45000</v>
      </c>
      <c r="K39" s="1" cm="1">
        <f t="array" ref="K39">J39 * _xlfn.SWITCH(I39, 90000, 78/90, 42000, 36/42, 25000, 21/25, 15000, 12.5/15, 0.7)</f>
        <v>37500</v>
      </c>
      <c r="L39" s="1">
        <f t="shared" si="1"/>
        <v>7500</v>
      </c>
      <c r="M39" s="1">
        <f t="shared" si="2"/>
        <v>16.670000000000002</v>
      </c>
    </row>
    <row r="40" spans="1:13" x14ac:dyDescent="0.25">
      <c r="A40" s="1">
        <v>38</v>
      </c>
      <c r="B40" s="1">
        <v>1038</v>
      </c>
      <c r="C40" s="4">
        <v>46002</v>
      </c>
      <c r="D40" s="1" t="s">
        <v>9</v>
      </c>
      <c r="E40" s="1" t="s">
        <v>15</v>
      </c>
      <c r="F40" s="1" t="str">
        <f t="shared" ca="1" si="3"/>
        <v>Delhi</v>
      </c>
      <c r="G40" s="1" t="str">
        <f t="shared" ca="1" si="4"/>
        <v>Priya</v>
      </c>
      <c r="H40" s="1">
        <v>1</v>
      </c>
      <c r="I40" s="1">
        <f t="shared" si="5"/>
        <v>3000</v>
      </c>
      <c r="J40" s="1">
        <f t="shared" si="0"/>
        <v>3000</v>
      </c>
      <c r="K40" s="1" cm="1">
        <f t="array" ref="K40">J40 * _xlfn.SWITCH(I40, 90000, 78/90, 42000, 36/42, 25000, 21/25, 15000, 12.5/15, 0.7)</f>
        <v>2100</v>
      </c>
      <c r="L40" s="1">
        <f t="shared" si="1"/>
        <v>900</v>
      </c>
      <c r="M40" s="1">
        <f t="shared" si="2"/>
        <v>30</v>
      </c>
    </row>
    <row r="41" spans="1:13" x14ac:dyDescent="0.25">
      <c r="A41" s="2">
        <v>39</v>
      </c>
      <c r="B41" s="1">
        <v>1039</v>
      </c>
      <c r="C41" s="4">
        <v>46002</v>
      </c>
      <c r="D41" s="1" t="s">
        <v>9</v>
      </c>
      <c r="E41" s="1" t="s">
        <v>15</v>
      </c>
      <c r="F41" s="1" t="str">
        <f t="shared" ca="1" si="3"/>
        <v>Mumbai</v>
      </c>
      <c r="G41" s="1" t="str">
        <f t="shared" ca="1" si="4"/>
        <v>Priya</v>
      </c>
      <c r="H41" s="1">
        <v>3</v>
      </c>
      <c r="I41" s="1">
        <f t="shared" si="5"/>
        <v>90000</v>
      </c>
      <c r="J41" s="1">
        <f t="shared" si="0"/>
        <v>270000</v>
      </c>
      <c r="K41" s="1" cm="1">
        <f t="array" ref="K41">J41 * _xlfn.SWITCH(I41, 90000, 78/90, 42000, 36/42, 25000, 21/25, 15000, 12.5/15, 0.7)</f>
        <v>234000</v>
      </c>
      <c r="L41" s="1">
        <f t="shared" si="1"/>
        <v>36000</v>
      </c>
      <c r="M41" s="1">
        <f t="shared" si="2"/>
        <v>13.33</v>
      </c>
    </row>
    <row r="42" spans="1:13" x14ac:dyDescent="0.25">
      <c r="A42" s="1">
        <v>40</v>
      </c>
      <c r="B42" s="1">
        <v>1040</v>
      </c>
      <c r="C42" s="4">
        <v>46003</v>
      </c>
      <c r="D42" s="1" t="s">
        <v>13</v>
      </c>
      <c r="E42" s="1" t="s">
        <v>16</v>
      </c>
      <c r="F42" s="1" t="str">
        <f t="shared" ca="1" si="3"/>
        <v>Banglore</v>
      </c>
      <c r="G42" s="1" t="str">
        <f t="shared" ca="1" si="4"/>
        <v>Rahul</v>
      </c>
      <c r="H42" s="1">
        <v>3</v>
      </c>
      <c r="I42" s="1">
        <f t="shared" si="5"/>
        <v>90000</v>
      </c>
      <c r="J42" s="1">
        <f t="shared" si="0"/>
        <v>270000</v>
      </c>
      <c r="K42" s="1" cm="1">
        <f t="array" ref="K42">J42 * _xlfn.SWITCH(I42, 90000, 78/90, 42000, 36/42, 25000, 21/25, 15000, 12.5/15, 0.7)</f>
        <v>234000</v>
      </c>
      <c r="L42" s="1">
        <f t="shared" si="1"/>
        <v>36000</v>
      </c>
      <c r="M42" s="1">
        <f t="shared" si="2"/>
        <v>13.33</v>
      </c>
    </row>
    <row r="43" spans="1:13" x14ac:dyDescent="0.25">
      <c r="A43" s="2">
        <v>41</v>
      </c>
      <c r="B43" s="1">
        <v>1041</v>
      </c>
      <c r="C43" s="4">
        <v>46003</v>
      </c>
      <c r="D43" s="1" t="s">
        <v>11</v>
      </c>
      <c r="E43" s="1" t="s">
        <v>15</v>
      </c>
      <c r="F43" s="1" t="str">
        <f t="shared" ca="1" si="3"/>
        <v>Dehradun</v>
      </c>
      <c r="G43" s="1" t="str">
        <f t="shared" ca="1" si="4"/>
        <v>Aman</v>
      </c>
      <c r="H43" s="1">
        <v>3</v>
      </c>
      <c r="I43" s="1">
        <f t="shared" si="5"/>
        <v>2000</v>
      </c>
      <c r="J43" s="1">
        <f t="shared" si="0"/>
        <v>6000</v>
      </c>
      <c r="K43" s="1" cm="1">
        <f t="array" ref="K43">J43 * _xlfn.SWITCH(I43, 90000, 78/90, 42000, 36/42, 25000, 21/25, 15000, 12.5/15, 0.7)</f>
        <v>4200</v>
      </c>
      <c r="L43" s="1">
        <f t="shared" si="1"/>
        <v>1800</v>
      </c>
      <c r="M43" s="1">
        <f t="shared" si="2"/>
        <v>30</v>
      </c>
    </row>
    <row r="44" spans="1:13" x14ac:dyDescent="0.25">
      <c r="A44" s="1">
        <v>42</v>
      </c>
      <c r="B44" s="1">
        <v>1042</v>
      </c>
      <c r="C44" s="4">
        <v>46004</v>
      </c>
      <c r="D44" s="1" t="s">
        <v>12</v>
      </c>
      <c r="E44" s="1" t="s">
        <v>15</v>
      </c>
      <c r="F44" s="1" t="str">
        <f t="shared" ca="1" si="3"/>
        <v>Banglore</v>
      </c>
      <c r="G44" s="1" t="str">
        <f t="shared" ca="1" si="4"/>
        <v>Rahul</v>
      </c>
      <c r="H44" s="1">
        <v>2</v>
      </c>
      <c r="I44" s="1">
        <f t="shared" si="5"/>
        <v>15000</v>
      </c>
      <c r="J44" s="1">
        <f t="shared" si="0"/>
        <v>30000</v>
      </c>
      <c r="K44" s="1" cm="1">
        <f t="array" ref="K44">J44 * _xlfn.SWITCH(I44, 90000, 78/90, 42000, 36/42, 25000, 21/25, 15000, 12.5/15, 0.7)</f>
        <v>25000</v>
      </c>
      <c r="L44" s="1">
        <f t="shared" si="1"/>
        <v>5000</v>
      </c>
      <c r="M44" s="1">
        <f t="shared" si="2"/>
        <v>16.670000000000002</v>
      </c>
    </row>
    <row r="45" spans="1:13" x14ac:dyDescent="0.25">
      <c r="A45" s="2">
        <v>43</v>
      </c>
      <c r="B45" s="1">
        <v>1043</v>
      </c>
      <c r="C45" s="4">
        <v>46004</v>
      </c>
      <c r="D45" s="1" t="s">
        <v>10</v>
      </c>
      <c r="E45" s="1" t="s">
        <v>15</v>
      </c>
      <c r="F45" s="1" t="str">
        <f t="shared" ca="1" si="3"/>
        <v>Dehradun</v>
      </c>
      <c r="G45" s="1" t="str">
        <f t="shared" ca="1" si="4"/>
        <v>Aman</v>
      </c>
      <c r="H45" s="1">
        <v>1</v>
      </c>
      <c r="I45" s="1">
        <f t="shared" si="5"/>
        <v>90000</v>
      </c>
      <c r="J45" s="1">
        <f t="shared" si="0"/>
        <v>90000</v>
      </c>
      <c r="K45" s="1" cm="1">
        <f t="array" ref="K45">J45 * _xlfn.SWITCH(I45, 90000, 78/90, 42000, 36/42, 25000, 21/25, 15000, 12.5/15, 0.7)</f>
        <v>78000</v>
      </c>
      <c r="L45" s="1">
        <f t="shared" si="1"/>
        <v>12000</v>
      </c>
      <c r="M45" s="1">
        <f t="shared" si="2"/>
        <v>13.33</v>
      </c>
    </row>
    <row r="46" spans="1:13" x14ac:dyDescent="0.25">
      <c r="A46" s="1">
        <v>44</v>
      </c>
      <c r="B46" s="1">
        <v>1044</v>
      </c>
      <c r="C46" s="4">
        <v>46004</v>
      </c>
      <c r="D46" s="1" t="s">
        <v>13</v>
      </c>
      <c r="E46" s="1" t="s">
        <v>16</v>
      </c>
      <c r="F46" s="1" t="str">
        <f t="shared" ca="1" si="3"/>
        <v>Mumbai</v>
      </c>
      <c r="G46" s="1" t="str">
        <f t="shared" ca="1" si="4"/>
        <v>Aman</v>
      </c>
      <c r="H46" s="1">
        <v>2</v>
      </c>
      <c r="I46" s="1">
        <f t="shared" si="5"/>
        <v>3000</v>
      </c>
      <c r="J46" s="1">
        <f t="shared" si="0"/>
        <v>6000</v>
      </c>
      <c r="K46" s="1" cm="1">
        <f t="array" ref="K46">J46 * _xlfn.SWITCH(I46, 90000, 78/90, 42000, 36/42, 25000, 21/25, 15000, 12.5/15, 0.7)</f>
        <v>4200</v>
      </c>
      <c r="L46" s="1">
        <f t="shared" si="1"/>
        <v>1800</v>
      </c>
      <c r="M46" s="1">
        <f t="shared" si="2"/>
        <v>30</v>
      </c>
    </row>
    <row r="47" spans="1:13" x14ac:dyDescent="0.25">
      <c r="A47" s="2">
        <v>45</v>
      </c>
      <c r="B47" s="1">
        <v>1045</v>
      </c>
      <c r="C47" s="4">
        <v>46004</v>
      </c>
      <c r="D47" s="1" t="s">
        <v>12</v>
      </c>
      <c r="E47" s="1" t="s">
        <v>15</v>
      </c>
      <c r="F47" s="1" t="str">
        <f t="shared" ca="1" si="3"/>
        <v>Banglore</v>
      </c>
      <c r="G47" s="1" t="str">
        <f t="shared" ca="1" si="4"/>
        <v>Aman</v>
      </c>
      <c r="H47" s="1">
        <v>3</v>
      </c>
      <c r="I47" s="1">
        <f t="shared" si="5"/>
        <v>2000</v>
      </c>
      <c r="J47" s="1">
        <f t="shared" si="0"/>
        <v>6000</v>
      </c>
      <c r="K47" s="1" cm="1">
        <f t="array" ref="K47">J47 * _xlfn.SWITCH(I47, 90000, 78/90, 42000, 36/42, 25000, 21/25, 15000, 12.5/15, 0.7)</f>
        <v>4200</v>
      </c>
      <c r="L47" s="1">
        <f t="shared" si="1"/>
        <v>1800</v>
      </c>
      <c r="M47" s="1">
        <f t="shared" si="2"/>
        <v>30</v>
      </c>
    </row>
    <row r="48" spans="1:13" x14ac:dyDescent="0.25">
      <c r="A48" s="1">
        <v>46</v>
      </c>
      <c r="B48" s="1">
        <v>1046</v>
      </c>
      <c r="C48" s="4">
        <v>46005</v>
      </c>
      <c r="D48" s="1" t="s">
        <v>13</v>
      </c>
      <c r="E48" s="1" t="s">
        <v>16</v>
      </c>
      <c r="F48" s="1" t="str">
        <f t="shared" ca="1" si="3"/>
        <v>Dehradun</v>
      </c>
      <c r="G48" s="1" t="str">
        <f t="shared" ca="1" si="4"/>
        <v>Simran</v>
      </c>
      <c r="H48" s="1">
        <v>2</v>
      </c>
      <c r="I48" s="1">
        <f t="shared" si="5"/>
        <v>90000</v>
      </c>
      <c r="J48" s="1">
        <f t="shared" si="0"/>
        <v>180000</v>
      </c>
      <c r="K48" s="1" cm="1">
        <f t="array" ref="K48">J48 * _xlfn.SWITCH(I48, 90000, 78/90, 42000, 36/42, 25000, 21/25, 15000, 12.5/15, 0.7)</f>
        <v>156000</v>
      </c>
      <c r="L48" s="1">
        <f t="shared" si="1"/>
        <v>24000</v>
      </c>
      <c r="M48" s="1">
        <f t="shared" si="2"/>
        <v>13.33</v>
      </c>
    </row>
    <row r="49" spans="1:13" x14ac:dyDescent="0.25">
      <c r="A49" s="2">
        <v>47</v>
      </c>
      <c r="B49" s="1">
        <v>1047</v>
      </c>
      <c r="C49" s="4">
        <v>46005</v>
      </c>
      <c r="D49" s="1" t="s">
        <v>11</v>
      </c>
      <c r="E49" s="1" t="s">
        <v>15</v>
      </c>
      <c r="F49" s="1" t="str">
        <f t="shared" ca="1" si="3"/>
        <v>Banglore</v>
      </c>
      <c r="G49" s="1" t="str">
        <f t="shared" ca="1" si="4"/>
        <v>Aman</v>
      </c>
      <c r="H49" s="1">
        <v>3</v>
      </c>
      <c r="I49" s="1">
        <f t="shared" si="5"/>
        <v>2000</v>
      </c>
      <c r="J49" s="1">
        <f t="shared" si="0"/>
        <v>6000</v>
      </c>
      <c r="K49" s="1" cm="1">
        <f t="array" ref="K49">J49 * _xlfn.SWITCH(I49, 90000, 78/90, 42000, 36/42, 25000, 21/25, 15000, 12.5/15, 0.7)</f>
        <v>4200</v>
      </c>
      <c r="L49" s="1">
        <f t="shared" si="1"/>
        <v>1800</v>
      </c>
      <c r="M49" s="1">
        <f t="shared" si="2"/>
        <v>30</v>
      </c>
    </row>
    <row r="50" spans="1:13" x14ac:dyDescent="0.25">
      <c r="A50" s="1">
        <v>48</v>
      </c>
      <c r="B50" s="1">
        <v>1048</v>
      </c>
      <c r="C50" s="4">
        <v>46005</v>
      </c>
      <c r="D50" s="1" t="s">
        <v>8</v>
      </c>
      <c r="E50" s="1" t="s">
        <v>15</v>
      </c>
      <c r="F50" s="1" t="str">
        <f t="shared" ca="1" si="3"/>
        <v>Delhi</v>
      </c>
      <c r="G50" s="1" t="str">
        <f t="shared" ca="1" si="4"/>
        <v>Rahul</v>
      </c>
      <c r="H50" s="1">
        <v>1</v>
      </c>
      <c r="I50" s="1">
        <f t="shared" si="5"/>
        <v>15000</v>
      </c>
      <c r="J50" s="1">
        <f t="shared" si="0"/>
        <v>15000</v>
      </c>
      <c r="K50" s="1" cm="1">
        <f t="array" ref="K50">J50 * _xlfn.SWITCH(I50, 90000, 78/90, 42000, 36/42, 25000, 21/25, 15000, 12.5/15, 0.7)</f>
        <v>12500</v>
      </c>
      <c r="L50" s="1">
        <f t="shared" si="1"/>
        <v>2500</v>
      </c>
      <c r="M50" s="1">
        <f t="shared" si="2"/>
        <v>16.670000000000002</v>
      </c>
    </row>
    <row r="51" spans="1:13" x14ac:dyDescent="0.25">
      <c r="A51" s="2">
        <v>49</v>
      </c>
      <c r="B51" s="1">
        <v>1049</v>
      </c>
      <c r="C51" s="4">
        <v>46005</v>
      </c>
      <c r="D51" s="1" t="s">
        <v>14</v>
      </c>
      <c r="E51" s="1" t="s">
        <v>16</v>
      </c>
      <c r="F51" s="1" t="str">
        <f t="shared" ca="1" si="3"/>
        <v>Dehradun</v>
      </c>
      <c r="G51" s="1" t="str">
        <f t="shared" ca="1" si="4"/>
        <v>Rahul</v>
      </c>
      <c r="H51" s="1">
        <v>2</v>
      </c>
      <c r="I51" s="1">
        <f t="shared" si="5"/>
        <v>42000</v>
      </c>
      <c r="J51" s="1">
        <f t="shared" si="0"/>
        <v>84000</v>
      </c>
      <c r="K51" s="1" cm="1">
        <f t="array" ref="K51">J51 * _xlfn.SWITCH(I51, 90000, 78/90, 42000, 36/42, 25000, 21/25, 15000, 12.5/15, 0.7)</f>
        <v>72000</v>
      </c>
      <c r="L51" s="1">
        <f t="shared" si="1"/>
        <v>12000</v>
      </c>
      <c r="M51" s="1">
        <f t="shared" si="2"/>
        <v>14.29</v>
      </c>
    </row>
    <row r="52" spans="1:13" x14ac:dyDescent="0.25">
      <c r="A52" s="1">
        <v>50</v>
      </c>
      <c r="B52" s="1">
        <v>1050</v>
      </c>
      <c r="C52" s="4">
        <v>46006</v>
      </c>
      <c r="D52" s="1" t="s">
        <v>11</v>
      </c>
      <c r="E52" s="1" t="s">
        <v>15</v>
      </c>
      <c r="F52" s="1" t="str">
        <f t="shared" ca="1" si="3"/>
        <v>Hyderabad</v>
      </c>
      <c r="G52" s="1" t="str">
        <f t="shared" ca="1" si="4"/>
        <v>Rahul</v>
      </c>
      <c r="H52" s="1">
        <v>1</v>
      </c>
      <c r="I52" s="1">
        <f t="shared" si="5"/>
        <v>3000</v>
      </c>
      <c r="J52" s="1">
        <f t="shared" si="0"/>
        <v>3000</v>
      </c>
      <c r="K52" s="1" cm="1">
        <f t="array" ref="K52">J52 * _xlfn.SWITCH(I52, 90000, 78/90, 42000, 36/42, 25000, 21/25, 15000, 12.5/15, 0.7)</f>
        <v>2100</v>
      </c>
      <c r="L52" s="1">
        <f t="shared" si="1"/>
        <v>900</v>
      </c>
      <c r="M52" s="1">
        <f t="shared" si="2"/>
        <v>30</v>
      </c>
    </row>
    <row r="53" spans="1:13" x14ac:dyDescent="0.25">
      <c r="A53" s="2">
        <v>51</v>
      </c>
      <c r="B53" s="1">
        <v>1051</v>
      </c>
      <c r="C53" s="4">
        <v>46006</v>
      </c>
      <c r="D53" s="1" t="s">
        <v>9</v>
      </c>
      <c r="E53" s="1" t="s">
        <v>15</v>
      </c>
      <c r="F53" s="1" t="str">
        <f t="shared" ca="1" si="3"/>
        <v>Dehradun</v>
      </c>
      <c r="G53" s="1" t="str">
        <f t="shared" ca="1" si="4"/>
        <v>Rahul</v>
      </c>
      <c r="H53" s="1">
        <v>1</v>
      </c>
      <c r="I53" s="1">
        <f t="shared" si="5"/>
        <v>15000</v>
      </c>
      <c r="J53" s="1">
        <f t="shared" si="0"/>
        <v>15000</v>
      </c>
      <c r="K53" s="1" cm="1">
        <f t="array" ref="K53">J53 * _xlfn.SWITCH(I53, 90000, 78/90, 42000, 36/42, 25000, 21/25, 15000, 12.5/15, 0.7)</f>
        <v>12500</v>
      </c>
      <c r="L53" s="1">
        <f t="shared" si="1"/>
        <v>2500</v>
      </c>
      <c r="M53" s="1">
        <f t="shared" si="2"/>
        <v>16.670000000000002</v>
      </c>
    </row>
    <row r="54" spans="1:13" x14ac:dyDescent="0.25">
      <c r="A54" s="1">
        <v>52</v>
      </c>
      <c r="B54" s="1">
        <v>1052</v>
      </c>
      <c r="C54" s="4">
        <v>46006</v>
      </c>
      <c r="D54" s="1" t="s">
        <v>8</v>
      </c>
      <c r="E54" s="1" t="s">
        <v>15</v>
      </c>
      <c r="F54" s="1" t="str">
        <f t="shared" ca="1" si="3"/>
        <v>Delhi</v>
      </c>
      <c r="G54" s="1" t="str">
        <f t="shared" ca="1" si="4"/>
        <v>Simran</v>
      </c>
      <c r="H54" s="1">
        <v>3</v>
      </c>
      <c r="I54" s="1">
        <f t="shared" si="5"/>
        <v>90000</v>
      </c>
      <c r="J54" s="1">
        <f t="shared" si="0"/>
        <v>270000</v>
      </c>
      <c r="K54" s="1" cm="1">
        <f t="array" ref="K54">J54 * _xlfn.SWITCH(I54, 90000, 78/90, 42000, 36/42, 25000, 21/25, 15000, 12.5/15, 0.7)</f>
        <v>234000</v>
      </c>
      <c r="L54" s="1">
        <f t="shared" si="1"/>
        <v>36000</v>
      </c>
      <c r="M54" s="1">
        <f t="shared" si="2"/>
        <v>13.33</v>
      </c>
    </row>
    <row r="55" spans="1:13" x14ac:dyDescent="0.25">
      <c r="A55" s="2">
        <v>53</v>
      </c>
      <c r="B55" s="1">
        <v>1053</v>
      </c>
      <c r="C55" s="4">
        <v>46007</v>
      </c>
      <c r="D55" s="1" t="s">
        <v>12</v>
      </c>
      <c r="E55" s="1" t="s">
        <v>15</v>
      </c>
      <c r="F55" s="1" t="str">
        <f t="shared" ca="1" si="3"/>
        <v>Hyderabad</v>
      </c>
      <c r="G55" s="1" t="str">
        <f t="shared" ca="1" si="4"/>
        <v>Priya</v>
      </c>
      <c r="H55" s="1">
        <v>2</v>
      </c>
      <c r="I55" s="1">
        <f t="shared" si="5"/>
        <v>42000</v>
      </c>
      <c r="J55" s="1">
        <f t="shared" si="0"/>
        <v>84000</v>
      </c>
      <c r="K55" s="1" cm="1">
        <f t="array" ref="K55">J55 * _xlfn.SWITCH(I55, 90000, 78/90, 42000, 36/42, 25000, 21/25, 15000, 12.5/15, 0.7)</f>
        <v>72000</v>
      </c>
      <c r="L55" s="1">
        <f t="shared" si="1"/>
        <v>12000</v>
      </c>
      <c r="M55" s="1">
        <f t="shared" si="2"/>
        <v>14.29</v>
      </c>
    </row>
    <row r="56" spans="1:13" x14ac:dyDescent="0.25">
      <c r="A56" s="1">
        <v>54</v>
      </c>
      <c r="B56" s="1">
        <v>1054</v>
      </c>
      <c r="C56" s="4">
        <v>46007</v>
      </c>
      <c r="D56" s="1" t="s">
        <v>10</v>
      </c>
      <c r="E56" s="1" t="s">
        <v>15</v>
      </c>
      <c r="F56" s="1" t="str">
        <f t="shared" ca="1" si="3"/>
        <v>Mumbai</v>
      </c>
      <c r="G56" s="1" t="str">
        <f t="shared" ca="1" si="4"/>
        <v>Simran</v>
      </c>
      <c r="H56" s="1">
        <v>3</v>
      </c>
      <c r="I56" s="1">
        <f t="shared" si="5"/>
        <v>90000</v>
      </c>
      <c r="J56" s="1">
        <f t="shared" si="0"/>
        <v>270000</v>
      </c>
      <c r="K56" s="1" cm="1">
        <f t="array" ref="K56">J56 * _xlfn.SWITCH(I56, 90000, 78/90, 42000, 36/42, 25000, 21/25, 15000, 12.5/15, 0.7)</f>
        <v>234000</v>
      </c>
      <c r="L56" s="1">
        <f t="shared" si="1"/>
        <v>36000</v>
      </c>
      <c r="M56" s="1">
        <f t="shared" si="2"/>
        <v>13.33</v>
      </c>
    </row>
    <row r="57" spans="1:13" x14ac:dyDescent="0.25">
      <c r="A57" s="2">
        <v>55</v>
      </c>
      <c r="B57" s="1">
        <v>1055</v>
      </c>
      <c r="C57" s="4">
        <v>46008</v>
      </c>
      <c r="D57" s="1" t="s">
        <v>8</v>
      </c>
      <c r="E57" s="1" t="s">
        <v>15</v>
      </c>
      <c r="F57" s="1" t="str">
        <f t="shared" ca="1" si="3"/>
        <v>Banglore</v>
      </c>
      <c r="G57" s="1" t="str">
        <f t="shared" ca="1" si="4"/>
        <v>Simran</v>
      </c>
      <c r="H57" s="1">
        <v>2</v>
      </c>
      <c r="I57" s="1">
        <f t="shared" si="5"/>
        <v>3000</v>
      </c>
      <c r="J57" s="1">
        <f t="shared" si="0"/>
        <v>6000</v>
      </c>
      <c r="K57" s="1" cm="1">
        <f t="array" ref="K57">J57 * _xlfn.SWITCH(I57, 90000, 78/90, 42000, 36/42, 25000, 21/25, 15000, 12.5/15, 0.7)</f>
        <v>4200</v>
      </c>
      <c r="L57" s="1">
        <f t="shared" si="1"/>
        <v>1800</v>
      </c>
      <c r="M57" s="1">
        <f t="shared" si="2"/>
        <v>30</v>
      </c>
    </row>
    <row r="58" spans="1:13" x14ac:dyDescent="0.25">
      <c r="A58" s="1">
        <v>56</v>
      </c>
      <c r="B58" s="1">
        <v>1056</v>
      </c>
      <c r="C58" s="4">
        <v>46008</v>
      </c>
      <c r="D58" s="1" t="s">
        <v>8</v>
      </c>
      <c r="E58" s="1" t="s">
        <v>15</v>
      </c>
      <c r="F58" s="1" t="str">
        <f t="shared" ca="1" si="3"/>
        <v>Pune</v>
      </c>
      <c r="G58" s="1" t="str">
        <f t="shared" ca="1" si="4"/>
        <v>Aman</v>
      </c>
      <c r="H58" s="1">
        <v>2</v>
      </c>
      <c r="I58" s="1">
        <f t="shared" si="5"/>
        <v>42000</v>
      </c>
      <c r="J58" s="1">
        <f t="shared" si="0"/>
        <v>84000</v>
      </c>
      <c r="K58" s="1" cm="1">
        <f t="array" ref="K58">J58 * _xlfn.SWITCH(I58, 90000, 78/90, 42000, 36/42, 25000, 21/25, 15000, 12.5/15, 0.7)</f>
        <v>72000</v>
      </c>
      <c r="L58" s="1">
        <f t="shared" si="1"/>
        <v>12000</v>
      </c>
      <c r="M58" s="1">
        <f t="shared" si="2"/>
        <v>14.29</v>
      </c>
    </row>
    <row r="59" spans="1:13" x14ac:dyDescent="0.25">
      <c r="A59" s="2">
        <v>57</v>
      </c>
      <c r="B59" s="1">
        <v>1057</v>
      </c>
      <c r="C59" s="4">
        <v>46008</v>
      </c>
      <c r="D59" s="1" t="s">
        <v>9</v>
      </c>
      <c r="E59" s="1" t="s">
        <v>15</v>
      </c>
      <c r="F59" s="1" t="str">
        <f t="shared" ca="1" si="3"/>
        <v>Pune</v>
      </c>
      <c r="G59" s="1" t="str">
        <f t="shared" ca="1" si="4"/>
        <v>Rahul</v>
      </c>
      <c r="H59" s="1">
        <v>3</v>
      </c>
      <c r="I59" s="1">
        <f t="shared" si="5"/>
        <v>42000</v>
      </c>
      <c r="J59" s="1">
        <f t="shared" si="0"/>
        <v>126000</v>
      </c>
      <c r="K59" s="1" cm="1">
        <f t="array" ref="K59">J59 * _xlfn.SWITCH(I59, 90000, 78/90, 42000, 36/42, 25000, 21/25, 15000, 12.5/15, 0.7)</f>
        <v>108000</v>
      </c>
      <c r="L59" s="1">
        <f t="shared" si="1"/>
        <v>18000</v>
      </c>
      <c r="M59" s="1">
        <f t="shared" si="2"/>
        <v>14.29</v>
      </c>
    </row>
    <row r="60" spans="1:13" x14ac:dyDescent="0.25">
      <c r="A60" s="1">
        <v>58</v>
      </c>
      <c r="B60" s="1">
        <v>1058</v>
      </c>
      <c r="C60" s="4">
        <v>46009</v>
      </c>
      <c r="D60" s="1" t="s">
        <v>12</v>
      </c>
      <c r="E60" s="1" t="s">
        <v>15</v>
      </c>
      <c r="F60" s="1" t="str">
        <f t="shared" ca="1" si="3"/>
        <v>Banglore</v>
      </c>
      <c r="G60" s="1" t="str">
        <f t="shared" ca="1" si="4"/>
        <v>Rahul</v>
      </c>
      <c r="H60" s="1">
        <v>3</v>
      </c>
      <c r="I60" s="1">
        <f t="shared" si="5"/>
        <v>90000</v>
      </c>
      <c r="J60" s="1">
        <f t="shared" si="0"/>
        <v>270000</v>
      </c>
      <c r="K60" s="1" cm="1">
        <f t="array" ref="K60">J60 * _xlfn.SWITCH(I60, 90000, 78/90, 42000, 36/42, 25000, 21/25, 15000, 12.5/15, 0.7)</f>
        <v>234000</v>
      </c>
      <c r="L60" s="1">
        <f t="shared" si="1"/>
        <v>36000</v>
      </c>
      <c r="M60" s="1">
        <f t="shared" si="2"/>
        <v>13.33</v>
      </c>
    </row>
    <row r="61" spans="1:13" x14ac:dyDescent="0.25">
      <c r="A61" s="2">
        <v>59</v>
      </c>
      <c r="B61" s="1">
        <v>1059</v>
      </c>
      <c r="C61" s="4">
        <v>46009</v>
      </c>
      <c r="D61" s="1" t="s">
        <v>8</v>
      </c>
      <c r="E61" s="1" t="s">
        <v>15</v>
      </c>
      <c r="F61" s="1" t="str">
        <f t="shared" ca="1" si="3"/>
        <v>Dehradun</v>
      </c>
      <c r="G61" s="1" t="str">
        <f t="shared" ca="1" si="4"/>
        <v>Simran</v>
      </c>
      <c r="H61" s="1">
        <v>3</v>
      </c>
      <c r="I61" s="1">
        <f t="shared" si="5"/>
        <v>90000</v>
      </c>
      <c r="J61" s="1">
        <f t="shared" si="0"/>
        <v>270000</v>
      </c>
      <c r="K61" s="1" cm="1">
        <f t="array" ref="K61">J61 * _xlfn.SWITCH(I61, 90000, 78/90, 42000, 36/42, 25000, 21/25, 15000, 12.5/15, 0.7)</f>
        <v>234000</v>
      </c>
      <c r="L61" s="1">
        <f t="shared" si="1"/>
        <v>36000</v>
      </c>
      <c r="M61" s="1">
        <f t="shared" si="2"/>
        <v>13.33</v>
      </c>
    </row>
    <row r="62" spans="1:13" x14ac:dyDescent="0.25">
      <c r="A62" s="1">
        <v>60</v>
      </c>
      <c r="B62" s="1">
        <v>1060</v>
      </c>
      <c r="C62" s="4">
        <v>46010</v>
      </c>
      <c r="D62" s="1" t="s">
        <v>11</v>
      </c>
      <c r="E62" s="1" t="s">
        <v>15</v>
      </c>
      <c r="F62" s="1" t="str">
        <f t="shared" ca="1" si="3"/>
        <v>Delhi</v>
      </c>
      <c r="G62" s="1" t="str">
        <f t="shared" ca="1" si="4"/>
        <v>Simran</v>
      </c>
      <c r="H62" s="1">
        <v>1</v>
      </c>
      <c r="I62" s="1">
        <f t="shared" si="5"/>
        <v>42000</v>
      </c>
      <c r="J62" s="1">
        <f t="shared" si="0"/>
        <v>42000</v>
      </c>
      <c r="K62" s="1" cm="1">
        <f t="array" ref="K62">J62 * _xlfn.SWITCH(I62, 90000, 78/90, 42000, 36/42, 25000, 21/25, 15000, 12.5/15, 0.7)</f>
        <v>36000</v>
      </c>
      <c r="L62" s="1">
        <f t="shared" si="1"/>
        <v>6000</v>
      </c>
      <c r="M62" s="1">
        <f t="shared" si="2"/>
        <v>14.29</v>
      </c>
    </row>
    <row r="63" spans="1:13" x14ac:dyDescent="0.25">
      <c r="A63" s="2">
        <v>61</v>
      </c>
      <c r="B63" s="1">
        <v>1061</v>
      </c>
      <c r="C63" s="4">
        <v>46011</v>
      </c>
      <c r="D63" s="1" t="s">
        <v>10</v>
      </c>
      <c r="E63" s="1" t="s">
        <v>15</v>
      </c>
      <c r="F63" s="1" t="str">
        <f t="shared" ca="1" si="3"/>
        <v>Banglore</v>
      </c>
      <c r="G63" s="1" t="str">
        <f t="shared" ca="1" si="4"/>
        <v>Simran</v>
      </c>
      <c r="H63" s="1">
        <v>3</v>
      </c>
      <c r="I63" s="1">
        <f t="shared" si="5"/>
        <v>15000</v>
      </c>
      <c r="J63" s="1">
        <f t="shared" si="0"/>
        <v>45000</v>
      </c>
      <c r="K63" s="1" cm="1">
        <f t="array" ref="K63">J63 * _xlfn.SWITCH(I63, 90000, 78/90, 42000, 36/42, 25000, 21/25, 15000, 12.5/15, 0.7)</f>
        <v>37500</v>
      </c>
      <c r="L63" s="1">
        <f t="shared" si="1"/>
        <v>7500</v>
      </c>
      <c r="M63" s="1">
        <f t="shared" si="2"/>
        <v>16.670000000000002</v>
      </c>
    </row>
    <row r="64" spans="1:13" x14ac:dyDescent="0.25">
      <c r="A64" s="1">
        <v>62</v>
      </c>
      <c r="B64" s="1">
        <v>1062</v>
      </c>
      <c r="C64" s="4">
        <v>46012</v>
      </c>
      <c r="D64" s="1" t="s">
        <v>14</v>
      </c>
      <c r="E64" s="1" t="s">
        <v>16</v>
      </c>
      <c r="F64" s="1" t="str">
        <f t="shared" ca="1" si="3"/>
        <v>Mumbai</v>
      </c>
      <c r="G64" s="1" t="str">
        <f t="shared" ca="1" si="4"/>
        <v>Rahul</v>
      </c>
      <c r="H64" s="1">
        <v>3</v>
      </c>
      <c r="I64" s="1">
        <f t="shared" si="5"/>
        <v>3000</v>
      </c>
      <c r="J64" s="1">
        <f t="shared" si="0"/>
        <v>9000</v>
      </c>
      <c r="K64" s="1" cm="1">
        <f t="array" ref="K64">J64 * _xlfn.SWITCH(I64, 90000, 78/90, 42000, 36/42, 25000, 21/25, 15000, 12.5/15, 0.7)</f>
        <v>6300</v>
      </c>
      <c r="L64" s="1">
        <f t="shared" si="1"/>
        <v>2700</v>
      </c>
      <c r="M64" s="1">
        <f t="shared" si="2"/>
        <v>30</v>
      </c>
    </row>
    <row r="65" spans="1:13" x14ac:dyDescent="0.25">
      <c r="A65" s="2">
        <v>63</v>
      </c>
      <c r="B65" s="1">
        <v>1063</v>
      </c>
      <c r="C65" s="4">
        <v>46012</v>
      </c>
      <c r="D65" s="1" t="s">
        <v>9</v>
      </c>
      <c r="E65" s="1" t="s">
        <v>15</v>
      </c>
      <c r="F65" s="1" t="str">
        <f t="shared" ca="1" si="3"/>
        <v>Mumbai</v>
      </c>
      <c r="G65" s="1" t="str">
        <f t="shared" ca="1" si="4"/>
        <v>Rahul</v>
      </c>
      <c r="H65" s="1">
        <v>3</v>
      </c>
      <c r="I65" s="1">
        <f t="shared" si="5"/>
        <v>3000</v>
      </c>
      <c r="J65" s="1">
        <f t="shared" si="0"/>
        <v>9000</v>
      </c>
      <c r="K65" s="1" cm="1">
        <f t="array" ref="K65">J65 * _xlfn.SWITCH(I65, 90000, 78/90, 42000, 36/42, 25000, 21/25, 15000, 12.5/15, 0.7)</f>
        <v>6300</v>
      </c>
      <c r="L65" s="1">
        <f t="shared" si="1"/>
        <v>2700</v>
      </c>
      <c r="M65" s="1">
        <f t="shared" si="2"/>
        <v>30</v>
      </c>
    </row>
    <row r="66" spans="1:13" x14ac:dyDescent="0.25">
      <c r="A66" s="1">
        <v>64</v>
      </c>
      <c r="B66" s="1">
        <v>1064</v>
      </c>
      <c r="C66" s="4">
        <v>46012</v>
      </c>
      <c r="D66" s="1" t="s">
        <v>9</v>
      </c>
      <c r="E66" s="1" t="s">
        <v>15</v>
      </c>
      <c r="F66" s="1" t="str">
        <f t="shared" ca="1" si="3"/>
        <v>Banglore</v>
      </c>
      <c r="G66" s="1" t="str">
        <f t="shared" ca="1" si="4"/>
        <v>Rahul</v>
      </c>
      <c r="H66" s="1">
        <v>3</v>
      </c>
      <c r="I66" s="1">
        <f t="shared" si="5"/>
        <v>90000</v>
      </c>
      <c r="J66" s="1">
        <f t="shared" si="0"/>
        <v>270000</v>
      </c>
      <c r="K66" s="1" cm="1">
        <f t="array" ref="K66">J66 * _xlfn.SWITCH(I66, 90000, 78/90, 42000, 36/42, 25000, 21/25, 15000, 12.5/15, 0.7)</f>
        <v>234000</v>
      </c>
      <c r="L66" s="1">
        <f t="shared" si="1"/>
        <v>36000</v>
      </c>
      <c r="M66" s="1">
        <f t="shared" si="2"/>
        <v>13.33</v>
      </c>
    </row>
    <row r="67" spans="1:13" x14ac:dyDescent="0.25">
      <c r="A67" s="2">
        <v>65</v>
      </c>
      <c r="B67" s="1">
        <v>1065</v>
      </c>
      <c r="C67" s="4">
        <v>46013</v>
      </c>
      <c r="D67" s="1" t="s">
        <v>13</v>
      </c>
      <c r="E67" s="1" t="s">
        <v>16</v>
      </c>
      <c r="F67" s="1" t="str">
        <f t="shared" ca="1" si="3"/>
        <v>Mumbai</v>
      </c>
      <c r="G67" s="1" t="str">
        <f t="shared" ca="1" si="4"/>
        <v>Priya</v>
      </c>
      <c r="H67" s="1">
        <v>1</v>
      </c>
      <c r="I67" s="1">
        <f t="shared" si="5"/>
        <v>90000</v>
      </c>
      <c r="J67" s="1">
        <f t="shared" si="0"/>
        <v>90000</v>
      </c>
      <c r="K67" s="1" cm="1">
        <f t="array" ref="K67">J67 * _xlfn.SWITCH(I67, 90000, 78/90, 42000, 36/42, 25000, 21/25, 15000, 12.5/15, 0.7)</f>
        <v>78000</v>
      </c>
      <c r="L67" s="1">
        <f t="shared" si="1"/>
        <v>12000</v>
      </c>
      <c r="M67" s="1">
        <f t="shared" si="2"/>
        <v>13.33</v>
      </c>
    </row>
    <row r="68" spans="1:13" x14ac:dyDescent="0.25">
      <c r="A68" s="1">
        <v>66</v>
      </c>
      <c r="B68" s="1">
        <v>1066</v>
      </c>
      <c r="C68" s="4">
        <v>46014</v>
      </c>
      <c r="D68" s="1" t="s">
        <v>11</v>
      </c>
      <c r="E68" s="1" t="s">
        <v>15</v>
      </c>
      <c r="F68" s="1" t="str">
        <f t="shared" ca="1" si="3"/>
        <v>Banglore</v>
      </c>
      <c r="G68" s="1" t="str">
        <f t="shared" ca="1" si="4"/>
        <v>Rahul</v>
      </c>
      <c r="H68" s="1">
        <v>2</v>
      </c>
      <c r="I68" s="1">
        <f t="shared" si="5"/>
        <v>2000</v>
      </c>
      <c r="J68" s="1">
        <f t="shared" ref="J68:J131" si="6">H68*I68</f>
        <v>4000</v>
      </c>
      <c r="K68" s="1" cm="1">
        <f t="array" ref="K68">J68 * _xlfn.SWITCH(I68, 90000, 78/90, 42000, 36/42, 25000, 21/25, 15000, 12.5/15, 0.7)</f>
        <v>2800</v>
      </c>
      <c r="L68" s="1">
        <f t="shared" ref="L68:L131" si="7">J68-K68</f>
        <v>1200</v>
      </c>
      <c r="M68" s="1">
        <f t="shared" ref="M68:M131" si="8">ROUND(L68/J68*100,2)</f>
        <v>30</v>
      </c>
    </row>
    <row r="69" spans="1:13" x14ac:dyDescent="0.25">
      <c r="A69" s="2">
        <v>67</v>
      </c>
      <c r="B69" s="1">
        <v>1067</v>
      </c>
      <c r="C69" s="4">
        <v>46014</v>
      </c>
      <c r="D69" s="1" t="s">
        <v>10</v>
      </c>
      <c r="E69" s="1" t="s">
        <v>15</v>
      </c>
      <c r="F69" s="1" t="str">
        <f t="shared" ca="1" si="3"/>
        <v>Delhi</v>
      </c>
      <c r="G69" s="1" t="str">
        <f t="shared" ca="1" si="4"/>
        <v>Aman</v>
      </c>
      <c r="H69" s="1">
        <v>2</v>
      </c>
      <c r="I69" s="1">
        <f t="shared" si="5"/>
        <v>15000</v>
      </c>
      <c r="J69" s="1">
        <f t="shared" si="6"/>
        <v>30000</v>
      </c>
      <c r="K69" s="1" cm="1">
        <f t="array" ref="K69">J69 * _xlfn.SWITCH(I69, 90000, 78/90, 42000, 36/42, 25000, 21/25, 15000, 12.5/15, 0.7)</f>
        <v>25000</v>
      </c>
      <c r="L69" s="1">
        <f t="shared" si="7"/>
        <v>5000</v>
      </c>
      <c r="M69" s="1">
        <f t="shared" si="8"/>
        <v>16.670000000000002</v>
      </c>
    </row>
    <row r="70" spans="1:13" x14ac:dyDescent="0.25">
      <c r="A70" s="1">
        <v>68</v>
      </c>
      <c r="B70" s="1">
        <v>1068</v>
      </c>
      <c r="C70" s="4">
        <v>46014</v>
      </c>
      <c r="D70" s="1" t="s">
        <v>13</v>
      </c>
      <c r="E70" s="1" t="s">
        <v>16</v>
      </c>
      <c r="F70" s="1" t="str">
        <f t="shared" ca="1" si="3"/>
        <v>Pune</v>
      </c>
      <c r="G70" s="1" t="str">
        <f t="shared" ca="1" si="4"/>
        <v>Aman</v>
      </c>
      <c r="H70" s="1">
        <v>2</v>
      </c>
      <c r="I70" s="1">
        <f t="shared" si="5"/>
        <v>3000</v>
      </c>
      <c r="J70" s="1">
        <f t="shared" si="6"/>
        <v>6000</v>
      </c>
      <c r="K70" s="1" cm="1">
        <f t="array" ref="K70">J70 * _xlfn.SWITCH(I70, 90000, 78/90, 42000, 36/42, 25000, 21/25, 15000, 12.5/15, 0.7)</f>
        <v>4200</v>
      </c>
      <c r="L70" s="1">
        <f t="shared" si="7"/>
        <v>1800</v>
      </c>
      <c r="M70" s="1">
        <f t="shared" si="8"/>
        <v>30</v>
      </c>
    </row>
    <row r="71" spans="1:13" x14ac:dyDescent="0.25">
      <c r="A71" s="2">
        <v>69</v>
      </c>
      <c r="B71" s="1">
        <v>1069</v>
      </c>
      <c r="C71" s="4">
        <v>46014</v>
      </c>
      <c r="D71" s="1" t="s">
        <v>14</v>
      </c>
      <c r="E71" s="1" t="s">
        <v>16</v>
      </c>
      <c r="F71" s="1" t="str">
        <f t="shared" ca="1" si="3"/>
        <v>Pune</v>
      </c>
      <c r="G71" s="1" t="str">
        <f t="shared" ca="1" si="4"/>
        <v>Priya</v>
      </c>
      <c r="H71" s="1">
        <v>3</v>
      </c>
      <c r="I71" s="1">
        <f t="shared" si="5"/>
        <v>2000</v>
      </c>
      <c r="J71" s="1">
        <f t="shared" si="6"/>
        <v>6000</v>
      </c>
      <c r="K71" s="1" cm="1">
        <f t="array" ref="K71">J71 * _xlfn.SWITCH(I71, 90000, 78/90, 42000, 36/42, 25000, 21/25, 15000, 12.5/15, 0.7)</f>
        <v>4200</v>
      </c>
      <c r="L71" s="1">
        <f t="shared" si="7"/>
        <v>1800</v>
      </c>
      <c r="M71" s="1">
        <f t="shared" si="8"/>
        <v>30</v>
      </c>
    </row>
    <row r="72" spans="1:13" x14ac:dyDescent="0.25">
      <c r="A72" s="1">
        <v>70</v>
      </c>
      <c r="B72" s="1">
        <v>1070</v>
      </c>
      <c r="C72" s="4">
        <v>46015</v>
      </c>
      <c r="D72" s="1" t="s">
        <v>9</v>
      </c>
      <c r="E72" s="1" t="s">
        <v>15</v>
      </c>
      <c r="F72" s="1" t="str">
        <f t="shared" ca="1" si="3"/>
        <v>Pune</v>
      </c>
      <c r="G72" s="1" t="str">
        <f t="shared" ca="1" si="4"/>
        <v>Aman</v>
      </c>
      <c r="H72" s="1">
        <v>3</v>
      </c>
      <c r="I72" s="1">
        <f t="shared" si="5"/>
        <v>3000</v>
      </c>
      <c r="J72" s="1">
        <f t="shared" si="6"/>
        <v>9000</v>
      </c>
      <c r="K72" s="1" cm="1">
        <f t="array" ref="K72">J72 * _xlfn.SWITCH(I72, 90000, 78/90, 42000, 36/42, 25000, 21/25, 15000, 12.5/15, 0.7)</f>
        <v>6300</v>
      </c>
      <c r="L72" s="1">
        <f t="shared" si="7"/>
        <v>2700</v>
      </c>
      <c r="M72" s="1">
        <f t="shared" si="8"/>
        <v>30</v>
      </c>
    </row>
    <row r="73" spans="1:13" x14ac:dyDescent="0.25">
      <c r="A73" s="2">
        <v>71</v>
      </c>
      <c r="B73" s="1">
        <v>1071</v>
      </c>
      <c r="C73" s="4">
        <v>46015</v>
      </c>
      <c r="D73" s="1" t="s">
        <v>13</v>
      </c>
      <c r="E73" s="1" t="s">
        <v>16</v>
      </c>
      <c r="F73" s="1" t="str">
        <f t="shared" ca="1" si="3"/>
        <v>Mumbai</v>
      </c>
      <c r="G73" s="1" t="str">
        <f t="shared" ca="1" si="4"/>
        <v>Aman</v>
      </c>
      <c r="H73" s="1">
        <v>1</v>
      </c>
      <c r="I73" s="1">
        <f t="shared" si="5"/>
        <v>90000</v>
      </c>
      <c r="J73" s="1">
        <f t="shared" si="6"/>
        <v>90000</v>
      </c>
      <c r="K73" s="1" cm="1">
        <f t="array" ref="K73">J73 * _xlfn.SWITCH(I73, 90000, 78/90, 42000, 36/42, 25000, 21/25, 15000, 12.5/15, 0.7)</f>
        <v>78000</v>
      </c>
      <c r="L73" s="1">
        <f t="shared" si="7"/>
        <v>12000</v>
      </c>
      <c r="M73" s="1">
        <f t="shared" si="8"/>
        <v>13.33</v>
      </c>
    </row>
    <row r="74" spans="1:13" x14ac:dyDescent="0.25">
      <c r="A74" s="1">
        <v>72</v>
      </c>
      <c r="B74" s="1">
        <v>1072</v>
      </c>
      <c r="C74" s="4">
        <v>46015</v>
      </c>
      <c r="D74" s="1" t="s">
        <v>14</v>
      </c>
      <c r="E74" s="1" t="s">
        <v>16</v>
      </c>
      <c r="F74" s="1" t="str">
        <f t="shared" ca="1" si="3"/>
        <v>Pune</v>
      </c>
      <c r="G74" s="1" t="str">
        <f t="shared" ca="1" si="4"/>
        <v>Priya</v>
      </c>
      <c r="H74" s="1">
        <v>1</v>
      </c>
      <c r="I74" s="1">
        <f t="shared" si="5"/>
        <v>2000</v>
      </c>
      <c r="J74" s="1">
        <f t="shared" si="6"/>
        <v>2000</v>
      </c>
      <c r="K74" s="1" cm="1">
        <f t="array" ref="K74">J74 * _xlfn.SWITCH(I74, 90000, 78/90, 42000, 36/42, 25000, 21/25, 15000, 12.5/15, 0.7)</f>
        <v>1400</v>
      </c>
      <c r="L74" s="1">
        <f t="shared" si="7"/>
        <v>600</v>
      </c>
      <c r="M74" s="1">
        <f t="shared" si="8"/>
        <v>30</v>
      </c>
    </row>
    <row r="75" spans="1:13" x14ac:dyDescent="0.25">
      <c r="A75" s="2">
        <v>73</v>
      </c>
      <c r="B75" s="1">
        <v>1073</v>
      </c>
      <c r="C75" s="4">
        <v>46016</v>
      </c>
      <c r="D75" s="1" t="s">
        <v>8</v>
      </c>
      <c r="E75" s="1" t="s">
        <v>15</v>
      </c>
      <c r="F75" s="1" t="str">
        <f t="shared" ca="1" si="3"/>
        <v>Mumbai</v>
      </c>
      <c r="G75" s="1" t="str">
        <f t="shared" ca="1" si="4"/>
        <v>Rahul</v>
      </c>
      <c r="H75" s="1">
        <v>3</v>
      </c>
      <c r="I75" s="1">
        <f t="shared" si="5"/>
        <v>3000</v>
      </c>
      <c r="J75" s="1">
        <f t="shared" si="6"/>
        <v>9000</v>
      </c>
      <c r="K75" s="1" cm="1">
        <f t="array" ref="K75">J75 * _xlfn.SWITCH(I75, 90000, 78/90, 42000, 36/42, 25000, 21/25, 15000, 12.5/15, 0.7)</f>
        <v>6300</v>
      </c>
      <c r="L75" s="1">
        <f t="shared" si="7"/>
        <v>2700</v>
      </c>
      <c r="M75" s="1">
        <f t="shared" si="8"/>
        <v>30</v>
      </c>
    </row>
    <row r="76" spans="1:13" x14ac:dyDescent="0.25">
      <c r="A76" s="1">
        <v>74</v>
      </c>
      <c r="B76" s="1">
        <v>1074</v>
      </c>
      <c r="C76" s="4">
        <v>46016</v>
      </c>
      <c r="D76" s="1" t="s">
        <v>11</v>
      </c>
      <c r="E76" s="1" t="s">
        <v>15</v>
      </c>
      <c r="F76" s="1" t="str">
        <f t="shared" ca="1" si="3"/>
        <v>Banglore</v>
      </c>
      <c r="G76" s="1" t="str">
        <f t="shared" ca="1" si="4"/>
        <v>Simran</v>
      </c>
      <c r="H76" s="1">
        <v>2</v>
      </c>
      <c r="I76" s="1">
        <f t="shared" si="5"/>
        <v>42000</v>
      </c>
      <c r="J76" s="1">
        <f t="shared" si="6"/>
        <v>84000</v>
      </c>
      <c r="K76" s="1" cm="1">
        <f t="array" ref="K76">J76 * _xlfn.SWITCH(I76, 90000, 78/90, 42000, 36/42, 25000, 21/25, 15000, 12.5/15, 0.7)</f>
        <v>72000</v>
      </c>
      <c r="L76" s="1">
        <f t="shared" si="7"/>
        <v>12000</v>
      </c>
      <c r="M76" s="1">
        <f t="shared" si="8"/>
        <v>14.29</v>
      </c>
    </row>
    <row r="77" spans="1:13" x14ac:dyDescent="0.25">
      <c r="A77" s="2">
        <v>75</v>
      </c>
      <c r="B77" s="1">
        <v>1075</v>
      </c>
      <c r="C77" s="4">
        <v>46017</v>
      </c>
      <c r="D77" s="1" t="s">
        <v>11</v>
      </c>
      <c r="E77" s="1" t="s">
        <v>15</v>
      </c>
      <c r="F77" s="1" t="str">
        <f t="shared" ca="1" si="3"/>
        <v>Pune</v>
      </c>
      <c r="G77" s="1" t="str">
        <f t="shared" ca="1" si="4"/>
        <v>Simran</v>
      </c>
      <c r="H77" s="1">
        <v>2</v>
      </c>
      <c r="I77" s="1">
        <f t="shared" si="5"/>
        <v>15000</v>
      </c>
      <c r="J77" s="1">
        <f t="shared" si="6"/>
        <v>30000</v>
      </c>
      <c r="K77" s="1" cm="1">
        <f t="array" ref="K77">J77 * _xlfn.SWITCH(I77, 90000, 78/90, 42000, 36/42, 25000, 21/25, 15000, 12.5/15, 0.7)</f>
        <v>25000</v>
      </c>
      <c r="L77" s="1">
        <f t="shared" si="7"/>
        <v>5000</v>
      </c>
      <c r="M77" s="1">
        <f t="shared" si="8"/>
        <v>16.670000000000002</v>
      </c>
    </row>
    <row r="78" spans="1:13" x14ac:dyDescent="0.25">
      <c r="A78" s="1">
        <v>76</v>
      </c>
      <c r="B78" s="1">
        <v>1076</v>
      </c>
      <c r="C78" s="4">
        <v>46017</v>
      </c>
      <c r="D78" s="1" t="s">
        <v>11</v>
      </c>
      <c r="E78" s="1" t="s">
        <v>15</v>
      </c>
      <c r="F78" s="1" t="str">
        <f t="shared" ca="1" si="3"/>
        <v>Pune</v>
      </c>
      <c r="G78" s="1" t="str">
        <f t="shared" ca="1" si="4"/>
        <v>Rahul</v>
      </c>
      <c r="H78" s="1">
        <v>3</v>
      </c>
      <c r="I78" s="1">
        <f t="shared" si="5"/>
        <v>15000</v>
      </c>
      <c r="J78" s="1">
        <f t="shared" si="6"/>
        <v>45000</v>
      </c>
      <c r="K78" s="1" cm="1">
        <f t="array" ref="K78">J78 * _xlfn.SWITCH(I78, 90000, 78/90, 42000, 36/42, 25000, 21/25, 15000, 12.5/15, 0.7)</f>
        <v>37500</v>
      </c>
      <c r="L78" s="1">
        <f t="shared" si="7"/>
        <v>7500</v>
      </c>
      <c r="M78" s="1">
        <f t="shared" si="8"/>
        <v>16.670000000000002</v>
      </c>
    </row>
    <row r="79" spans="1:13" x14ac:dyDescent="0.25">
      <c r="A79" s="2">
        <v>77</v>
      </c>
      <c r="B79" s="1">
        <v>1077</v>
      </c>
      <c r="C79" s="4">
        <v>46018</v>
      </c>
      <c r="D79" s="1" t="s">
        <v>13</v>
      </c>
      <c r="E79" s="1" t="s">
        <v>16</v>
      </c>
      <c r="F79" s="1" t="str">
        <f t="shared" ca="1" si="3"/>
        <v>Hyderabad</v>
      </c>
      <c r="G79" s="1" t="str">
        <f t="shared" ca="1" si="4"/>
        <v>Rahul</v>
      </c>
      <c r="H79" s="1">
        <v>2</v>
      </c>
      <c r="I79" s="1">
        <f t="shared" si="5"/>
        <v>15000</v>
      </c>
      <c r="J79" s="1">
        <f t="shared" si="6"/>
        <v>30000</v>
      </c>
      <c r="K79" s="1" cm="1">
        <f t="array" ref="K79">J79 * _xlfn.SWITCH(I79, 90000, 78/90, 42000, 36/42, 25000, 21/25, 15000, 12.5/15, 0.7)</f>
        <v>25000</v>
      </c>
      <c r="L79" s="1">
        <f t="shared" si="7"/>
        <v>5000</v>
      </c>
      <c r="M79" s="1">
        <f t="shared" si="8"/>
        <v>16.670000000000002</v>
      </c>
    </row>
    <row r="80" spans="1:13" x14ac:dyDescent="0.25">
      <c r="A80" s="1">
        <v>78</v>
      </c>
      <c r="B80" s="1">
        <v>1078</v>
      </c>
      <c r="C80" s="4">
        <v>46019</v>
      </c>
      <c r="D80" s="1" t="s">
        <v>12</v>
      </c>
      <c r="E80" s="1" t="s">
        <v>15</v>
      </c>
      <c r="F80" s="1" t="str">
        <f t="shared" ca="1" si="3"/>
        <v>Delhi</v>
      </c>
      <c r="G80" s="1" t="str">
        <f t="shared" ca="1" si="4"/>
        <v>Priya</v>
      </c>
      <c r="H80" s="1">
        <v>2</v>
      </c>
      <c r="I80" s="1">
        <f t="shared" si="5"/>
        <v>2000</v>
      </c>
      <c r="J80" s="1">
        <f t="shared" si="6"/>
        <v>4000</v>
      </c>
      <c r="K80" s="1" cm="1">
        <f t="array" ref="K80">J80 * _xlfn.SWITCH(I80, 90000, 78/90, 42000, 36/42, 25000, 21/25, 15000, 12.5/15, 0.7)</f>
        <v>2800</v>
      </c>
      <c r="L80" s="1">
        <f t="shared" si="7"/>
        <v>1200</v>
      </c>
      <c r="M80" s="1">
        <f t="shared" si="8"/>
        <v>30</v>
      </c>
    </row>
    <row r="81" spans="1:13" x14ac:dyDescent="0.25">
      <c r="A81" s="2">
        <v>79</v>
      </c>
      <c r="B81" s="1">
        <v>1079</v>
      </c>
      <c r="C81" s="4">
        <v>46019</v>
      </c>
      <c r="D81" s="1" t="s">
        <v>11</v>
      </c>
      <c r="E81" s="1" t="s">
        <v>15</v>
      </c>
      <c r="F81" s="1" t="str">
        <f t="shared" ca="1" si="3"/>
        <v>Delhi</v>
      </c>
      <c r="G81" s="1" t="str">
        <f t="shared" ca="1" si="4"/>
        <v>Simran</v>
      </c>
      <c r="H81" s="1">
        <v>3</v>
      </c>
      <c r="I81" s="1">
        <f t="shared" si="5"/>
        <v>90000</v>
      </c>
      <c r="J81" s="1">
        <f t="shared" si="6"/>
        <v>270000</v>
      </c>
      <c r="K81" s="1" cm="1">
        <f t="array" ref="K81">J81 * _xlfn.SWITCH(I81, 90000, 78/90, 42000, 36/42, 25000, 21/25, 15000, 12.5/15, 0.7)</f>
        <v>234000</v>
      </c>
      <c r="L81" s="1">
        <f t="shared" si="7"/>
        <v>36000</v>
      </c>
      <c r="M81" s="1">
        <f t="shared" si="8"/>
        <v>13.33</v>
      </c>
    </row>
    <row r="82" spans="1:13" x14ac:dyDescent="0.25">
      <c r="A82" s="1">
        <v>80</v>
      </c>
      <c r="B82" s="1">
        <v>1080</v>
      </c>
      <c r="C82" s="4">
        <v>46020</v>
      </c>
      <c r="D82" s="1" t="s">
        <v>13</v>
      </c>
      <c r="E82" s="1" t="s">
        <v>16</v>
      </c>
      <c r="F82" s="1" t="str">
        <f t="shared" ca="1" si="3"/>
        <v>Pune</v>
      </c>
      <c r="G82" s="1" t="str">
        <f t="shared" ca="1" si="4"/>
        <v>Aman</v>
      </c>
      <c r="H82" s="1">
        <v>2</v>
      </c>
      <c r="I82" s="1">
        <f t="shared" si="5"/>
        <v>15000</v>
      </c>
      <c r="J82" s="1">
        <f t="shared" si="6"/>
        <v>30000</v>
      </c>
      <c r="K82" s="1" cm="1">
        <f t="array" ref="K82">J82 * _xlfn.SWITCH(I82, 90000, 78/90, 42000, 36/42, 25000, 21/25, 15000, 12.5/15, 0.7)</f>
        <v>25000</v>
      </c>
      <c r="L82" s="1">
        <f t="shared" si="7"/>
        <v>5000</v>
      </c>
      <c r="M82" s="1">
        <f t="shared" si="8"/>
        <v>16.670000000000002</v>
      </c>
    </row>
    <row r="83" spans="1:13" x14ac:dyDescent="0.25">
      <c r="A83" s="2">
        <v>81</v>
      </c>
      <c r="B83" s="1">
        <v>1081</v>
      </c>
      <c r="C83" s="4">
        <v>46021</v>
      </c>
      <c r="D83" s="1" t="s">
        <v>13</v>
      </c>
      <c r="E83" s="1" t="s">
        <v>16</v>
      </c>
      <c r="F83" s="1" t="str">
        <f t="shared" ca="1" si="3"/>
        <v>Delhi</v>
      </c>
      <c r="G83" s="1" t="str">
        <f t="shared" ca="1" si="4"/>
        <v>Rahul</v>
      </c>
      <c r="H83" s="1">
        <v>2</v>
      </c>
      <c r="I83" s="1">
        <f t="shared" si="5"/>
        <v>2000</v>
      </c>
      <c r="J83" s="1">
        <f t="shared" si="6"/>
        <v>4000</v>
      </c>
      <c r="K83" s="1" cm="1">
        <f t="array" ref="K83">J83 * _xlfn.SWITCH(I83, 90000, 78/90, 42000, 36/42, 25000, 21/25, 15000, 12.5/15, 0.7)</f>
        <v>2800</v>
      </c>
      <c r="L83" s="1">
        <f t="shared" si="7"/>
        <v>1200</v>
      </c>
      <c r="M83" s="1">
        <f t="shared" si="8"/>
        <v>30</v>
      </c>
    </row>
    <row r="84" spans="1:13" x14ac:dyDescent="0.25">
      <c r="A84" s="1">
        <v>82</v>
      </c>
      <c r="B84" s="1">
        <v>1082</v>
      </c>
      <c r="C84" s="4">
        <v>46022</v>
      </c>
      <c r="D84" s="1" t="s">
        <v>10</v>
      </c>
      <c r="E84" s="1" t="s">
        <v>15</v>
      </c>
      <c r="F84" s="1" t="str">
        <f t="shared" ca="1" si="3"/>
        <v>Mumbai</v>
      </c>
      <c r="G84" s="1" t="str">
        <f t="shared" ca="1" si="4"/>
        <v>Aman</v>
      </c>
      <c r="H84" s="1">
        <v>1</v>
      </c>
      <c r="I84" s="1">
        <f t="shared" si="5"/>
        <v>2000</v>
      </c>
      <c r="J84" s="1">
        <f t="shared" si="6"/>
        <v>2000</v>
      </c>
      <c r="K84" s="1" cm="1">
        <f t="array" ref="K84">J84 * _xlfn.SWITCH(I84, 90000, 78/90, 42000, 36/42, 25000, 21/25, 15000, 12.5/15, 0.7)</f>
        <v>1400</v>
      </c>
      <c r="L84" s="1">
        <f t="shared" si="7"/>
        <v>600</v>
      </c>
      <c r="M84" s="1">
        <f t="shared" si="8"/>
        <v>30</v>
      </c>
    </row>
    <row r="85" spans="1:13" x14ac:dyDescent="0.25">
      <c r="A85" s="2">
        <v>83</v>
      </c>
      <c r="B85" s="1">
        <v>1083</v>
      </c>
      <c r="C85" s="4">
        <v>46023</v>
      </c>
      <c r="D85" s="1" t="s">
        <v>12</v>
      </c>
      <c r="E85" s="1" t="s">
        <v>15</v>
      </c>
      <c r="F85" s="1" t="str">
        <f t="shared" ca="1" si="3"/>
        <v>Pune</v>
      </c>
      <c r="G85" s="1" t="str">
        <f t="shared" ca="1" si="4"/>
        <v>Rahul</v>
      </c>
      <c r="H85" s="1">
        <v>2</v>
      </c>
      <c r="I85" s="1">
        <f t="shared" si="5"/>
        <v>3000</v>
      </c>
      <c r="J85" s="1">
        <f t="shared" si="6"/>
        <v>6000</v>
      </c>
      <c r="K85" s="1" cm="1">
        <f t="array" ref="K85">J85 * _xlfn.SWITCH(I85, 90000, 78/90, 42000, 36/42, 25000, 21/25, 15000, 12.5/15, 0.7)</f>
        <v>4200</v>
      </c>
      <c r="L85" s="1">
        <f t="shared" si="7"/>
        <v>1800</v>
      </c>
      <c r="M85" s="1">
        <f t="shared" si="8"/>
        <v>30</v>
      </c>
    </row>
    <row r="86" spans="1:13" x14ac:dyDescent="0.25">
      <c r="A86" s="1">
        <v>84</v>
      </c>
      <c r="B86" s="1">
        <v>1084</v>
      </c>
      <c r="C86" s="4">
        <v>46023</v>
      </c>
      <c r="D86" s="1" t="s">
        <v>11</v>
      </c>
      <c r="E86" s="1" t="s">
        <v>15</v>
      </c>
      <c r="F86" s="1" t="str">
        <f t="shared" ca="1" si="3"/>
        <v>Mumbai</v>
      </c>
      <c r="G86" s="1" t="str">
        <f t="shared" ca="1" si="4"/>
        <v>Rahul</v>
      </c>
      <c r="H86" s="1">
        <v>2</v>
      </c>
      <c r="I86" s="1">
        <f t="shared" si="5"/>
        <v>90000</v>
      </c>
      <c r="J86" s="1">
        <f t="shared" si="6"/>
        <v>180000</v>
      </c>
      <c r="K86" s="1" cm="1">
        <f t="array" ref="K86">J86 * _xlfn.SWITCH(I86, 90000, 78/90, 42000, 36/42, 25000, 21/25, 15000, 12.5/15, 0.7)</f>
        <v>156000</v>
      </c>
      <c r="L86" s="1">
        <f t="shared" si="7"/>
        <v>24000</v>
      </c>
      <c r="M86" s="1">
        <f t="shared" si="8"/>
        <v>13.33</v>
      </c>
    </row>
    <row r="87" spans="1:13" x14ac:dyDescent="0.25">
      <c r="A87" s="2">
        <v>85</v>
      </c>
      <c r="B87" s="1">
        <v>1085</v>
      </c>
      <c r="C87" s="4">
        <v>46024</v>
      </c>
      <c r="D87" s="1" t="s">
        <v>9</v>
      </c>
      <c r="E87" s="1" t="s">
        <v>15</v>
      </c>
      <c r="F87" s="1" t="str">
        <f t="shared" ca="1" si="3"/>
        <v>Banglore</v>
      </c>
      <c r="G87" s="1" t="str">
        <f t="shared" ca="1" si="4"/>
        <v>Aman</v>
      </c>
      <c r="H87" s="1">
        <v>1</v>
      </c>
      <c r="I87" s="1">
        <f t="shared" si="5"/>
        <v>15000</v>
      </c>
      <c r="J87" s="1">
        <f t="shared" si="6"/>
        <v>15000</v>
      </c>
      <c r="K87" s="1" cm="1">
        <f t="array" ref="K87">J87 * _xlfn.SWITCH(I87, 90000, 78/90, 42000, 36/42, 25000, 21/25, 15000, 12.5/15, 0.7)</f>
        <v>12500</v>
      </c>
      <c r="L87" s="1">
        <f t="shared" si="7"/>
        <v>2500</v>
      </c>
      <c r="M87" s="1">
        <f t="shared" si="8"/>
        <v>16.670000000000002</v>
      </c>
    </row>
    <row r="88" spans="1:13" x14ac:dyDescent="0.25">
      <c r="A88" s="1">
        <v>86</v>
      </c>
      <c r="B88" s="1">
        <v>1086</v>
      </c>
      <c r="C88" s="4">
        <v>46024</v>
      </c>
      <c r="D88" s="1" t="s">
        <v>12</v>
      </c>
      <c r="E88" s="1" t="s">
        <v>15</v>
      </c>
      <c r="F88" s="1" t="str">
        <f t="shared" ref="F88:F151" ca="1" si="9">CHOOSE(RANDBETWEEN(1,6), "Mumbai", "Delhi", "Banglore", "Pune", "Hyderabad", "Dehradun")</f>
        <v>Banglore</v>
      </c>
      <c r="G88" s="1" t="str">
        <f t="shared" ref="G88:G151" ca="1" si="10">CHOOSE(RANDBETWEEN(1,4), "Priya", "Aman", "Rahul", "Simran")</f>
        <v>Rahul</v>
      </c>
      <c r="H88" s="1">
        <v>3</v>
      </c>
      <c r="I88" s="1">
        <f t="shared" ref="I88:I151" si="11">VLOOKUP(D87, $D$3:$I$21, 6, FALSE)</f>
        <v>90000</v>
      </c>
      <c r="J88" s="1">
        <f t="shared" si="6"/>
        <v>270000</v>
      </c>
      <c r="K88" s="1" cm="1">
        <f t="array" ref="K88">J88 * _xlfn.SWITCH(I88, 90000, 78/90, 42000, 36/42, 25000, 21/25, 15000, 12.5/15, 0.7)</f>
        <v>234000</v>
      </c>
      <c r="L88" s="1">
        <f t="shared" si="7"/>
        <v>36000</v>
      </c>
      <c r="M88" s="1">
        <f t="shared" si="8"/>
        <v>13.33</v>
      </c>
    </row>
    <row r="89" spans="1:13" x14ac:dyDescent="0.25">
      <c r="A89" s="2">
        <v>87</v>
      </c>
      <c r="B89" s="1">
        <v>1087</v>
      </c>
      <c r="C89" s="4">
        <v>46025</v>
      </c>
      <c r="D89" s="1" t="s">
        <v>12</v>
      </c>
      <c r="E89" s="1" t="s">
        <v>15</v>
      </c>
      <c r="F89" s="1" t="str">
        <f t="shared" ca="1" si="9"/>
        <v>Mumbai</v>
      </c>
      <c r="G89" s="1" t="str">
        <f t="shared" ca="1" si="10"/>
        <v>Rahul</v>
      </c>
      <c r="H89" s="1">
        <v>2</v>
      </c>
      <c r="I89" s="1">
        <f t="shared" si="11"/>
        <v>90000</v>
      </c>
      <c r="J89" s="1">
        <f t="shared" si="6"/>
        <v>180000</v>
      </c>
      <c r="K89" s="1" cm="1">
        <f t="array" ref="K89">J89 * _xlfn.SWITCH(I89, 90000, 78/90, 42000, 36/42, 25000, 21/25, 15000, 12.5/15, 0.7)</f>
        <v>156000</v>
      </c>
      <c r="L89" s="1">
        <f t="shared" si="7"/>
        <v>24000</v>
      </c>
      <c r="M89" s="1">
        <f t="shared" si="8"/>
        <v>13.33</v>
      </c>
    </row>
    <row r="90" spans="1:13" x14ac:dyDescent="0.25">
      <c r="A90" s="1">
        <v>88</v>
      </c>
      <c r="B90" s="1">
        <v>1088</v>
      </c>
      <c r="C90" s="4">
        <v>46025</v>
      </c>
      <c r="D90" s="1" t="s">
        <v>14</v>
      </c>
      <c r="E90" s="1" t="s">
        <v>16</v>
      </c>
      <c r="F90" s="1" t="str">
        <f t="shared" ca="1" si="9"/>
        <v>Hyderabad</v>
      </c>
      <c r="G90" s="1" t="str">
        <f t="shared" ca="1" si="10"/>
        <v>Simran</v>
      </c>
      <c r="H90" s="1">
        <v>2</v>
      </c>
      <c r="I90" s="1">
        <f t="shared" si="11"/>
        <v>90000</v>
      </c>
      <c r="J90" s="1">
        <f t="shared" si="6"/>
        <v>180000</v>
      </c>
      <c r="K90" s="1" cm="1">
        <f t="array" ref="K90">J90 * _xlfn.SWITCH(I90, 90000, 78/90, 42000, 36/42, 25000, 21/25, 15000, 12.5/15, 0.7)</f>
        <v>156000</v>
      </c>
      <c r="L90" s="1">
        <f t="shared" si="7"/>
        <v>24000</v>
      </c>
      <c r="M90" s="1">
        <f t="shared" si="8"/>
        <v>13.33</v>
      </c>
    </row>
    <row r="91" spans="1:13" x14ac:dyDescent="0.25">
      <c r="A91" s="2">
        <v>89</v>
      </c>
      <c r="B91" s="1">
        <v>1089</v>
      </c>
      <c r="C91" s="4">
        <v>46027</v>
      </c>
      <c r="D91" s="1" t="s">
        <v>9</v>
      </c>
      <c r="E91" s="1" t="s">
        <v>15</v>
      </c>
      <c r="F91" s="1" t="str">
        <f t="shared" ca="1" si="9"/>
        <v>Hyderabad</v>
      </c>
      <c r="G91" s="1" t="str">
        <f t="shared" ca="1" si="10"/>
        <v>Rahul</v>
      </c>
      <c r="H91" s="1">
        <v>2</v>
      </c>
      <c r="I91" s="1">
        <f t="shared" si="11"/>
        <v>3000</v>
      </c>
      <c r="J91" s="1">
        <f t="shared" si="6"/>
        <v>6000</v>
      </c>
      <c r="K91" s="1" cm="1">
        <f t="array" ref="K91">J91 * _xlfn.SWITCH(I91, 90000, 78/90, 42000, 36/42, 25000, 21/25, 15000, 12.5/15, 0.7)</f>
        <v>4200</v>
      </c>
      <c r="L91" s="1">
        <f t="shared" si="7"/>
        <v>1800</v>
      </c>
      <c r="M91" s="1">
        <f t="shared" si="8"/>
        <v>30</v>
      </c>
    </row>
    <row r="92" spans="1:13" x14ac:dyDescent="0.25">
      <c r="A92" s="1">
        <v>90</v>
      </c>
      <c r="B92" s="1">
        <v>1090</v>
      </c>
      <c r="C92" s="4">
        <v>46027</v>
      </c>
      <c r="D92" s="1" t="s">
        <v>10</v>
      </c>
      <c r="E92" s="1" t="s">
        <v>15</v>
      </c>
      <c r="F92" s="1" t="str">
        <f t="shared" ca="1" si="9"/>
        <v>Hyderabad</v>
      </c>
      <c r="G92" s="1" t="str">
        <f t="shared" ca="1" si="10"/>
        <v>Rahul</v>
      </c>
      <c r="H92" s="1">
        <v>2</v>
      </c>
      <c r="I92" s="1">
        <f t="shared" si="11"/>
        <v>90000</v>
      </c>
      <c r="J92" s="1">
        <f t="shared" si="6"/>
        <v>180000</v>
      </c>
      <c r="K92" s="1" cm="1">
        <f t="array" ref="K92">J92 * _xlfn.SWITCH(I92, 90000, 78/90, 42000, 36/42, 25000, 21/25, 15000, 12.5/15, 0.7)</f>
        <v>156000</v>
      </c>
      <c r="L92" s="1">
        <f t="shared" si="7"/>
        <v>24000</v>
      </c>
      <c r="M92" s="1">
        <f t="shared" si="8"/>
        <v>13.33</v>
      </c>
    </row>
    <row r="93" spans="1:13" x14ac:dyDescent="0.25">
      <c r="A93" s="2">
        <v>91</v>
      </c>
      <c r="B93" s="1">
        <v>1091</v>
      </c>
      <c r="C93" s="4">
        <v>46028</v>
      </c>
      <c r="D93" s="1" t="s">
        <v>8</v>
      </c>
      <c r="E93" s="1" t="s">
        <v>15</v>
      </c>
      <c r="F93" s="1" t="str">
        <f t="shared" ca="1" si="9"/>
        <v>Mumbai</v>
      </c>
      <c r="G93" s="1" t="str">
        <f t="shared" ca="1" si="10"/>
        <v>Simran</v>
      </c>
      <c r="H93" s="1">
        <v>1</v>
      </c>
      <c r="I93" s="1">
        <f t="shared" si="11"/>
        <v>3000</v>
      </c>
      <c r="J93" s="1">
        <f t="shared" si="6"/>
        <v>3000</v>
      </c>
      <c r="K93" s="1" cm="1">
        <f t="array" ref="K93">J93 * _xlfn.SWITCH(I93, 90000, 78/90, 42000, 36/42, 25000, 21/25, 15000, 12.5/15, 0.7)</f>
        <v>2100</v>
      </c>
      <c r="L93" s="1">
        <f t="shared" si="7"/>
        <v>900</v>
      </c>
      <c r="M93" s="1">
        <f t="shared" si="8"/>
        <v>30</v>
      </c>
    </row>
    <row r="94" spans="1:13" x14ac:dyDescent="0.25">
      <c r="A94" s="1">
        <v>92</v>
      </c>
      <c r="B94" s="1">
        <v>1092</v>
      </c>
      <c r="C94" s="4">
        <v>46028</v>
      </c>
      <c r="D94" s="1" t="s">
        <v>14</v>
      </c>
      <c r="E94" s="1" t="s">
        <v>16</v>
      </c>
      <c r="F94" s="1" t="str">
        <f t="shared" ca="1" si="9"/>
        <v>Banglore</v>
      </c>
      <c r="G94" s="1" t="str">
        <f t="shared" ca="1" si="10"/>
        <v>Rahul</v>
      </c>
      <c r="H94" s="1">
        <v>1</v>
      </c>
      <c r="I94" s="1">
        <f t="shared" si="11"/>
        <v>42000</v>
      </c>
      <c r="J94" s="1">
        <f t="shared" si="6"/>
        <v>42000</v>
      </c>
      <c r="K94" s="1" cm="1">
        <f t="array" ref="K94">J94 * _xlfn.SWITCH(I94, 90000, 78/90, 42000, 36/42, 25000, 21/25, 15000, 12.5/15, 0.7)</f>
        <v>36000</v>
      </c>
      <c r="L94" s="1">
        <f t="shared" si="7"/>
        <v>6000</v>
      </c>
      <c r="M94" s="1">
        <f t="shared" si="8"/>
        <v>14.29</v>
      </c>
    </row>
    <row r="95" spans="1:13" x14ac:dyDescent="0.25">
      <c r="A95" s="2">
        <v>93</v>
      </c>
      <c r="B95" s="1">
        <v>1093</v>
      </c>
      <c r="C95" s="4">
        <v>46028</v>
      </c>
      <c r="D95" s="1" t="s">
        <v>14</v>
      </c>
      <c r="E95" s="1" t="s">
        <v>16</v>
      </c>
      <c r="F95" s="1" t="str">
        <f t="shared" ca="1" si="9"/>
        <v>Hyderabad</v>
      </c>
      <c r="G95" s="1" t="str">
        <f t="shared" ca="1" si="10"/>
        <v>Simran</v>
      </c>
      <c r="H95" s="1">
        <v>1</v>
      </c>
      <c r="I95" s="1">
        <f t="shared" si="11"/>
        <v>3000</v>
      </c>
      <c r="J95" s="1">
        <f t="shared" si="6"/>
        <v>3000</v>
      </c>
      <c r="K95" s="1" cm="1">
        <f t="array" ref="K95">J95 * _xlfn.SWITCH(I95, 90000, 78/90, 42000, 36/42, 25000, 21/25, 15000, 12.5/15, 0.7)</f>
        <v>2100</v>
      </c>
      <c r="L95" s="1">
        <f t="shared" si="7"/>
        <v>900</v>
      </c>
      <c r="M95" s="1">
        <f t="shared" si="8"/>
        <v>30</v>
      </c>
    </row>
    <row r="96" spans="1:13" x14ac:dyDescent="0.25">
      <c r="A96" s="1">
        <v>94</v>
      </c>
      <c r="B96" s="1">
        <v>1094</v>
      </c>
      <c r="C96" s="4">
        <v>46028</v>
      </c>
      <c r="D96" s="1" t="s">
        <v>10</v>
      </c>
      <c r="E96" s="1" t="s">
        <v>15</v>
      </c>
      <c r="F96" s="1" t="str">
        <f t="shared" ca="1" si="9"/>
        <v>Hyderabad</v>
      </c>
      <c r="G96" s="1" t="str">
        <f t="shared" ca="1" si="10"/>
        <v>Simran</v>
      </c>
      <c r="H96" s="1">
        <v>1</v>
      </c>
      <c r="I96" s="1">
        <f t="shared" si="11"/>
        <v>3000</v>
      </c>
      <c r="J96" s="1">
        <f t="shared" si="6"/>
        <v>3000</v>
      </c>
      <c r="K96" s="1" cm="1">
        <f t="array" ref="K96">J96 * _xlfn.SWITCH(I96, 90000, 78/90, 42000, 36/42, 25000, 21/25, 15000, 12.5/15, 0.7)</f>
        <v>2100</v>
      </c>
      <c r="L96" s="1">
        <f t="shared" si="7"/>
        <v>900</v>
      </c>
      <c r="M96" s="1">
        <f t="shared" si="8"/>
        <v>30</v>
      </c>
    </row>
    <row r="97" spans="1:13" x14ac:dyDescent="0.25">
      <c r="A97" s="2">
        <v>95</v>
      </c>
      <c r="B97" s="1">
        <v>1095</v>
      </c>
      <c r="C97" s="4">
        <v>46028</v>
      </c>
      <c r="D97" s="1" t="s">
        <v>13</v>
      </c>
      <c r="E97" s="1" t="s">
        <v>16</v>
      </c>
      <c r="F97" s="1" t="str">
        <f t="shared" ca="1" si="9"/>
        <v>Mumbai</v>
      </c>
      <c r="G97" s="1" t="str">
        <f t="shared" ca="1" si="10"/>
        <v>Rahul</v>
      </c>
      <c r="H97" s="1">
        <v>1</v>
      </c>
      <c r="I97" s="1">
        <f t="shared" si="11"/>
        <v>3000</v>
      </c>
      <c r="J97" s="1">
        <f t="shared" si="6"/>
        <v>3000</v>
      </c>
      <c r="K97" s="1" cm="1">
        <f t="array" ref="K97">J97 * _xlfn.SWITCH(I97, 90000, 78/90, 42000, 36/42, 25000, 21/25, 15000, 12.5/15, 0.7)</f>
        <v>2100</v>
      </c>
      <c r="L97" s="1">
        <f t="shared" si="7"/>
        <v>900</v>
      </c>
      <c r="M97" s="1">
        <f t="shared" si="8"/>
        <v>30</v>
      </c>
    </row>
    <row r="98" spans="1:13" x14ac:dyDescent="0.25">
      <c r="A98" s="1">
        <v>96</v>
      </c>
      <c r="B98" s="1">
        <v>1096</v>
      </c>
      <c r="C98" s="4">
        <v>46028</v>
      </c>
      <c r="D98" s="1" t="s">
        <v>10</v>
      </c>
      <c r="E98" s="1" t="s">
        <v>15</v>
      </c>
      <c r="F98" s="1" t="str">
        <f t="shared" ca="1" si="9"/>
        <v>Delhi</v>
      </c>
      <c r="G98" s="1" t="str">
        <f t="shared" ca="1" si="10"/>
        <v>Rahul</v>
      </c>
      <c r="H98" s="1">
        <v>2</v>
      </c>
      <c r="I98" s="1">
        <f t="shared" si="11"/>
        <v>2000</v>
      </c>
      <c r="J98" s="1">
        <f t="shared" si="6"/>
        <v>4000</v>
      </c>
      <c r="K98" s="1" cm="1">
        <f t="array" ref="K98">J98 * _xlfn.SWITCH(I98, 90000, 78/90, 42000, 36/42, 25000, 21/25, 15000, 12.5/15, 0.7)</f>
        <v>2800</v>
      </c>
      <c r="L98" s="1">
        <f t="shared" si="7"/>
        <v>1200</v>
      </c>
      <c r="M98" s="1">
        <f t="shared" si="8"/>
        <v>30</v>
      </c>
    </row>
    <row r="99" spans="1:13" x14ac:dyDescent="0.25">
      <c r="A99" s="2">
        <v>97</v>
      </c>
      <c r="B99" s="1">
        <v>1097</v>
      </c>
      <c r="C99" s="4">
        <v>46028</v>
      </c>
      <c r="D99" s="1" t="s">
        <v>9</v>
      </c>
      <c r="E99" s="1" t="s">
        <v>15</v>
      </c>
      <c r="F99" s="1" t="str">
        <f t="shared" ca="1" si="9"/>
        <v>Pune</v>
      </c>
      <c r="G99" s="1" t="str">
        <f t="shared" ca="1" si="10"/>
        <v>Priya</v>
      </c>
      <c r="H99" s="1">
        <v>2</v>
      </c>
      <c r="I99" s="1">
        <f t="shared" si="11"/>
        <v>3000</v>
      </c>
      <c r="J99" s="1">
        <f t="shared" si="6"/>
        <v>6000</v>
      </c>
      <c r="K99" s="1" cm="1">
        <f t="array" ref="K99">J99 * _xlfn.SWITCH(I99, 90000, 78/90, 42000, 36/42, 25000, 21/25, 15000, 12.5/15, 0.7)</f>
        <v>4200</v>
      </c>
      <c r="L99" s="1">
        <f t="shared" si="7"/>
        <v>1800</v>
      </c>
      <c r="M99" s="1">
        <f t="shared" si="8"/>
        <v>30</v>
      </c>
    </row>
    <row r="100" spans="1:13" x14ac:dyDescent="0.25">
      <c r="A100" s="1">
        <v>98</v>
      </c>
      <c r="B100" s="1">
        <v>1098</v>
      </c>
      <c r="C100" s="4">
        <v>46028</v>
      </c>
      <c r="D100" s="1" t="s">
        <v>13</v>
      </c>
      <c r="E100" s="1" t="s">
        <v>16</v>
      </c>
      <c r="F100" s="1" t="str">
        <f t="shared" ca="1" si="9"/>
        <v>Pune</v>
      </c>
      <c r="G100" s="1" t="str">
        <f t="shared" ca="1" si="10"/>
        <v>Aman</v>
      </c>
      <c r="H100" s="1">
        <v>3</v>
      </c>
      <c r="I100" s="1">
        <f t="shared" si="11"/>
        <v>90000</v>
      </c>
      <c r="J100" s="1">
        <f t="shared" si="6"/>
        <v>270000</v>
      </c>
      <c r="K100" s="1" cm="1">
        <f t="array" ref="K100">J100 * _xlfn.SWITCH(I100, 90000, 78/90, 42000, 36/42, 25000, 21/25, 15000, 12.5/15, 0.7)</f>
        <v>234000</v>
      </c>
      <c r="L100" s="1">
        <f t="shared" si="7"/>
        <v>36000</v>
      </c>
      <c r="M100" s="1">
        <f t="shared" si="8"/>
        <v>13.33</v>
      </c>
    </row>
    <row r="101" spans="1:13" x14ac:dyDescent="0.25">
      <c r="A101" s="2">
        <v>99</v>
      </c>
      <c r="B101" s="1">
        <v>1099</v>
      </c>
      <c r="C101" s="4">
        <v>46030</v>
      </c>
      <c r="D101" s="1" t="s">
        <v>11</v>
      </c>
      <c r="E101" s="1" t="s">
        <v>15</v>
      </c>
      <c r="F101" s="1" t="str">
        <f t="shared" ca="1" si="9"/>
        <v>Pune</v>
      </c>
      <c r="G101" s="1" t="str">
        <f t="shared" ca="1" si="10"/>
        <v>Aman</v>
      </c>
      <c r="H101" s="1">
        <v>2</v>
      </c>
      <c r="I101" s="1">
        <f t="shared" si="11"/>
        <v>2000</v>
      </c>
      <c r="J101" s="1">
        <f t="shared" si="6"/>
        <v>4000</v>
      </c>
      <c r="K101" s="1" cm="1">
        <f t="array" ref="K101">J101 * _xlfn.SWITCH(I101, 90000, 78/90, 42000, 36/42, 25000, 21/25, 15000, 12.5/15, 0.7)</f>
        <v>2800</v>
      </c>
      <c r="L101" s="1">
        <f t="shared" si="7"/>
        <v>1200</v>
      </c>
      <c r="M101" s="1">
        <f t="shared" si="8"/>
        <v>30</v>
      </c>
    </row>
    <row r="102" spans="1:13" x14ac:dyDescent="0.25">
      <c r="A102" s="1">
        <v>100</v>
      </c>
      <c r="B102" s="1">
        <v>1100</v>
      </c>
      <c r="C102" s="4">
        <v>46030</v>
      </c>
      <c r="D102" s="1" t="s">
        <v>11</v>
      </c>
      <c r="E102" s="1" t="s">
        <v>15</v>
      </c>
      <c r="F102" s="1" t="str">
        <f t="shared" ca="1" si="9"/>
        <v>Delhi</v>
      </c>
      <c r="G102" s="1" t="str">
        <f t="shared" ca="1" si="10"/>
        <v>Priya</v>
      </c>
      <c r="H102" s="1">
        <v>3</v>
      </c>
      <c r="I102" s="1">
        <f t="shared" si="11"/>
        <v>15000</v>
      </c>
      <c r="J102" s="1">
        <f t="shared" si="6"/>
        <v>45000</v>
      </c>
      <c r="K102" s="1" cm="1">
        <f t="array" ref="K102">J102 * _xlfn.SWITCH(I102, 90000, 78/90, 42000, 36/42, 25000, 21/25, 15000, 12.5/15, 0.7)</f>
        <v>37500</v>
      </c>
      <c r="L102" s="1">
        <f t="shared" si="7"/>
        <v>7500</v>
      </c>
      <c r="M102" s="1">
        <f t="shared" si="8"/>
        <v>16.670000000000002</v>
      </c>
    </row>
    <row r="103" spans="1:13" x14ac:dyDescent="0.25">
      <c r="A103" s="2">
        <v>101</v>
      </c>
      <c r="B103" s="1">
        <v>1101</v>
      </c>
      <c r="C103" s="4">
        <v>46030</v>
      </c>
      <c r="D103" s="1" t="s">
        <v>8</v>
      </c>
      <c r="E103" s="1" t="s">
        <v>15</v>
      </c>
      <c r="F103" s="1" t="str">
        <f t="shared" ca="1" si="9"/>
        <v>Dehradun</v>
      </c>
      <c r="G103" s="1" t="str">
        <f t="shared" ca="1" si="10"/>
        <v>Simran</v>
      </c>
      <c r="H103" s="1">
        <v>1</v>
      </c>
      <c r="I103" s="1">
        <f t="shared" si="11"/>
        <v>15000</v>
      </c>
      <c r="J103" s="1">
        <f t="shared" si="6"/>
        <v>15000</v>
      </c>
      <c r="K103" s="1" cm="1">
        <f t="array" ref="K103">J103 * _xlfn.SWITCH(I103, 90000, 78/90, 42000, 36/42, 25000, 21/25, 15000, 12.5/15, 0.7)</f>
        <v>12500</v>
      </c>
      <c r="L103" s="1">
        <f t="shared" si="7"/>
        <v>2500</v>
      </c>
      <c r="M103" s="1">
        <f t="shared" si="8"/>
        <v>16.670000000000002</v>
      </c>
    </row>
    <row r="104" spans="1:13" x14ac:dyDescent="0.25">
      <c r="A104" s="1">
        <v>102</v>
      </c>
      <c r="B104" s="1">
        <v>1102</v>
      </c>
      <c r="C104" s="4">
        <v>46031</v>
      </c>
      <c r="D104" s="1" t="s">
        <v>11</v>
      </c>
      <c r="E104" s="1" t="s">
        <v>15</v>
      </c>
      <c r="F104" s="1" t="str">
        <f t="shared" ca="1" si="9"/>
        <v>Delhi</v>
      </c>
      <c r="G104" s="1" t="str">
        <f t="shared" ca="1" si="10"/>
        <v>Priya</v>
      </c>
      <c r="H104" s="1">
        <v>2</v>
      </c>
      <c r="I104" s="1">
        <f t="shared" si="11"/>
        <v>42000</v>
      </c>
      <c r="J104" s="1">
        <f t="shared" si="6"/>
        <v>84000</v>
      </c>
      <c r="K104" s="1" cm="1">
        <f t="array" ref="K104">J104 * _xlfn.SWITCH(I104, 90000, 78/90, 42000, 36/42, 25000, 21/25, 15000, 12.5/15, 0.7)</f>
        <v>72000</v>
      </c>
      <c r="L104" s="1">
        <f t="shared" si="7"/>
        <v>12000</v>
      </c>
      <c r="M104" s="1">
        <f t="shared" si="8"/>
        <v>14.29</v>
      </c>
    </row>
    <row r="105" spans="1:13" x14ac:dyDescent="0.25">
      <c r="A105" s="2">
        <v>103</v>
      </c>
      <c r="B105" s="1">
        <v>1103</v>
      </c>
      <c r="C105" s="4">
        <v>46031</v>
      </c>
      <c r="D105" s="1" t="s">
        <v>11</v>
      </c>
      <c r="E105" s="1" t="s">
        <v>15</v>
      </c>
      <c r="F105" s="1" t="str">
        <f t="shared" ca="1" si="9"/>
        <v>Dehradun</v>
      </c>
      <c r="G105" s="1" t="str">
        <f t="shared" ca="1" si="10"/>
        <v>Rahul</v>
      </c>
      <c r="H105" s="1">
        <v>3</v>
      </c>
      <c r="I105" s="1">
        <f t="shared" si="11"/>
        <v>15000</v>
      </c>
      <c r="J105" s="1">
        <f t="shared" si="6"/>
        <v>45000</v>
      </c>
      <c r="K105" s="1" cm="1">
        <f t="array" ref="K105">J105 * _xlfn.SWITCH(I105, 90000, 78/90, 42000, 36/42, 25000, 21/25, 15000, 12.5/15, 0.7)</f>
        <v>37500</v>
      </c>
      <c r="L105" s="1">
        <f t="shared" si="7"/>
        <v>7500</v>
      </c>
      <c r="M105" s="1">
        <f t="shared" si="8"/>
        <v>16.670000000000002</v>
      </c>
    </row>
    <row r="106" spans="1:13" x14ac:dyDescent="0.25">
      <c r="A106" s="1">
        <v>104</v>
      </c>
      <c r="B106" s="1">
        <v>1104</v>
      </c>
      <c r="C106" s="4">
        <v>46031</v>
      </c>
      <c r="D106" s="1" t="s">
        <v>10</v>
      </c>
      <c r="E106" s="1" t="s">
        <v>15</v>
      </c>
      <c r="F106" s="1" t="str">
        <f t="shared" ca="1" si="9"/>
        <v>Banglore</v>
      </c>
      <c r="G106" s="1" t="str">
        <f t="shared" ca="1" si="10"/>
        <v>Simran</v>
      </c>
      <c r="H106" s="1">
        <v>1</v>
      </c>
      <c r="I106" s="1">
        <f t="shared" si="11"/>
        <v>15000</v>
      </c>
      <c r="J106" s="1">
        <f t="shared" si="6"/>
        <v>15000</v>
      </c>
      <c r="K106" s="1" cm="1">
        <f t="array" ref="K106">J106 * _xlfn.SWITCH(I106, 90000, 78/90, 42000, 36/42, 25000, 21/25, 15000, 12.5/15, 0.7)</f>
        <v>12500</v>
      </c>
      <c r="L106" s="1">
        <f t="shared" si="7"/>
        <v>2500</v>
      </c>
      <c r="M106" s="1">
        <f t="shared" si="8"/>
        <v>16.670000000000002</v>
      </c>
    </row>
    <row r="107" spans="1:13" x14ac:dyDescent="0.25">
      <c r="A107" s="2">
        <v>105</v>
      </c>
      <c r="B107" s="1">
        <v>1105</v>
      </c>
      <c r="C107" s="4">
        <v>46032</v>
      </c>
      <c r="D107" s="1" t="s">
        <v>10</v>
      </c>
      <c r="E107" s="1" t="s">
        <v>15</v>
      </c>
      <c r="F107" s="1" t="str">
        <f t="shared" ca="1" si="9"/>
        <v>Mumbai</v>
      </c>
      <c r="G107" s="1" t="str">
        <f t="shared" ca="1" si="10"/>
        <v>Simran</v>
      </c>
      <c r="H107" s="1">
        <v>3</v>
      </c>
      <c r="I107" s="1">
        <f t="shared" si="11"/>
        <v>3000</v>
      </c>
      <c r="J107" s="1">
        <f t="shared" si="6"/>
        <v>9000</v>
      </c>
      <c r="K107" s="1" cm="1">
        <f t="array" ref="K107">J107 * _xlfn.SWITCH(I107, 90000, 78/90, 42000, 36/42, 25000, 21/25, 15000, 12.5/15, 0.7)</f>
        <v>6300</v>
      </c>
      <c r="L107" s="1">
        <f t="shared" si="7"/>
        <v>2700</v>
      </c>
      <c r="M107" s="1">
        <f t="shared" si="8"/>
        <v>30</v>
      </c>
    </row>
    <row r="108" spans="1:13" x14ac:dyDescent="0.25">
      <c r="A108" s="1">
        <v>106</v>
      </c>
      <c r="B108" s="1">
        <v>1106</v>
      </c>
      <c r="C108" s="4">
        <v>46034</v>
      </c>
      <c r="D108" s="1" t="s">
        <v>14</v>
      </c>
      <c r="E108" s="1" t="s">
        <v>16</v>
      </c>
      <c r="F108" s="1" t="str">
        <f t="shared" ca="1" si="9"/>
        <v>Pune</v>
      </c>
      <c r="G108" s="1" t="str">
        <f t="shared" ca="1" si="10"/>
        <v>Rahul</v>
      </c>
      <c r="H108" s="1">
        <v>1</v>
      </c>
      <c r="I108" s="1">
        <f t="shared" si="11"/>
        <v>3000</v>
      </c>
      <c r="J108" s="1">
        <f t="shared" si="6"/>
        <v>3000</v>
      </c>
      <c r="K108" s="1" cm="1">
        <f t="array" ref="K108">J108 * _xlfn.SWITCH(I108, 90000, 78/90, 42000, 36/42, 25000, 21/25, 15000, 12.5/15, 0.7)</f>
        <v>2100</v>
      </c>
      <c r="L108" s="1">
        <f t="shared" si="7"/>
        <v>900</v>
      </c>
      <c r="M108" s="1">
        <f t="shared" si="8"/>
        <v>30</v>
      </c>
    </row>
    <row r="109" spans="1:13" x14ac:dyDescent="0.25">
      <c r="A109" s="2">
        <v>107</v>
      </c>
      <c r="B109" s="1">
        <v>1107</v>
      </c>
      <c r="C109" s="4">
        <v>46034</v>
      </c>
      <c r="D109" s="1" t="s">
        <v>14</v>
      </c>
      <c r="E109" s="1" t="s">
        <v>16</v>
      </c>
      <c r="F109" s="1" t="str">
        <f t="shared" ca="1" si="9"/>
        <v>Pune</v>
      </c>
      <c r="G109" s="1" t="str">
        <f t="shared" ca="1" si="10"/>
        <v>Aman</v>
      </c>
      <c r="H109" s="1">
        <v>3</v>
      </c>
      <c r="I109" s="1">
        <f t="shared" si="11"/>
        <v>3000</v>
      </c>
      <c r="J109" s="1">
        <f t="shared" si="6"/>
        <v>9000</v>
      </c>
      <c r="K109" s="1" cm="1">
        <f t="array" ref="K109">J109 * _xlfn.SWITCH(I109, 90000, 78/90, 42000, 36/42, 25000, 21/25, 15000, 12.5/15, 0.7)</f>
        <v>6300</v>
      </c>
      <c r="L109" s="1">
        <f t="shared" si="7"/>
        <v>2700</v>
      </c>
      <c r="M109" s="1">
        <f t="shared" si="8"/>
        <v>30</v>
      </c>
    </row>
    <row r="110" spans="1:13" x14ac:dyDescent="0.25">
      <c r="A110" s="1">
        <v>108</v>
      </c>
      <c r="B110" s="1">
        <v>1108</v>
      </c>
      <c r="C110" s="4">
        <v>46034</v>
      </c>
      <c r="D110" s="1" t="s">
        <v>13</v>
      </c>
      <c r="E110" s="1" t="s">
        <v>16</v>
      </c>
      <c r="F110" s="1" t="str">
        <f t="shared" ca="1" si="9"/>
        <v>Dehradun</v>
      </c>
      <c r="G110" s="1" t="str">
        <f t="shared" ca="1" si="10"/>
        <v>Aman</v>
      </c>
      <c r="H110" s="1">
        <v>2</v>
      </c>
      <c r="I110" s="1">
        <f t="shared" si="11"/>
        <v>3000</v>
      </c>
      <c r="J110" s="1">
        <f t="shared" si="6"/>
        <v>6000</v>
      </c>
      <c r="K110" s="1" cm="1">
        <f t="array" ref="K110">J110 * _xlfn.SWITCH(I110, 90000, 78/90, 42000, 36/42, 25000, 21/25, 15000, 12.5/15, 0.7)</f>
        <v>4200</v>
      </c>
      <c r="L110" s="1">
        <f t="shared" si="7"/>
        <v>1800</v>
      </c>
      <c r="M110" s="1">
        <f t="shared" si="8"/>
        <v>30</v>
      </c>
    </row>
    <row r="111" spans="1:13" x14ac:dyDescent="0.25">
      <c r="A111" s="2">
        <v>109</v>
      </c>
      <c r="B111" s="1">
        <v>1109</v>
      </c>
      <c r="C111" s="4">
        <v>46035</v>
      </c>
      <c r="D111" s="1" t="s">
        <v>8</v>
      </c>
      <c r="E111" s="1" t="s">
        <v>15</v>
      </c>
      <c r="F111" s="1" t="str">
        <f t="shared" ca="1" si="9"/>
        <v>Pune</v>
      </c>
      <c r="G111" s="1" t="str">
        <f t="shared" ca="1" si="10"/>
        <v>Rahul</v>
      </c>
      <c r="H111" s="1">
        <v>2</v>
      </c>
      <c r="I111" s="1">
        <f t="shared" si="11"/>
        <v>2000</v>
      </c>
      <c r="J111" s="1">
        <f t="shared" si="6"/>
        <v>4000</v>
      </c>
      <c r="K111" s="1" cm="1">
        <f t="array" ref="K111">J111 * _xlfn.SWITCH(I111, 90000, 78/90, 42000, 36/42, 25000, 21/25, 15000, 12.5/15, 0.7)</f>
        <v>2800</v>
      </c>
      <c r="L111" s="1">
        <f t="shared" si="7"/>
        <v>1200</v>
      </c>
      <c r="M111" s="1">
        <f t="shared" si="8"/>
        <v>30</v>
      </c>
    </row>
    <row r="112" spans="1:13" x14ac:dyDescent="0.25">
      <c r="A112" s="1">
        <v>110</v>
      </c>
      <c r="B112" s="1">
        <v>1110</v>
      </c>
      <c r="C112" s="4">
        <v>46035</v>
      </c>
      <c r="D112" s="1" t="s">
        <v>14</v>
      </c>
      <c r="E112" s="1" t="s">
        <v>16</v>
      </c>
      <c r="F112" s="1" t="str">
        <f t="shared" ca="1" si="9"/>
        <v>Hyderabad</v>
      </c>
      <c r="G112" s="1" t="str">
        <f t="shared" ca="1" si="10"/>
        <v>Priya</v>
      </c>
      <c r="H112" s="1">
        <v>1</v>
      </c>
      <c r="I112" s="1">
        <f t="shared" si="11"/>
        <v>42000</v>
      </c>
      <c r="J112" s="1">
        <f t="shared" si="6"/>
        <v>42000</v>
      </c>
      <c r="K112" s="1" cm="1">
        <f t="array" ref="K112">J112 * _xlfn.SWITCH(I112, 90000, 78/90, 42000, 36/42, 25000, 21/25, 15000, 12.5/15, 0.7)</f>
        <v>36000</v>
      </c>
      <c r="L112" s="1">
        <f t="shared" si="7"/>
        <v>6000</v>
      </c>
      <c r="M112" s="1">
        <f t="shared" si="8"/>
        <v>14.29</v>
      </c>
    </row>
    <row r="113" spans="1:13" x14ac:dyDescent="0.25">
      <c r="A113" s="2">
        <v>111</v>
      </c>
      <c r="B113" s="1">
        <v>1111</v>
      </c>
      <c r="C113" s="4">
        <v>46035</v>
      </c>
      <c r="D113" s="1" t="s">
        <v>9</v>
      </c>
      <c r="E113" s="1" t="s">
        <v>15</v>
      </c>
      <c r="F113" s="1" t="str">
        <f t="shared" ca="1" si="9"/>
        <v>Hyderabad</v>
      </c>
      <c r="G113" s="1" t="str">
        <f t="shared" ca="1" si="10"/>
        <v>Priya</v>
      </c>
      <c r="H113" s="1">
        <v>1</v>
      </c>
      <c r="I113" s="1">
        <f t="shared" si="11"/>
        <v>3000</v>
      </c>
      <c r="J113" s="1">
        <f t="shared" si="6"/>
        <v>3000</v>
      </c>
      <c r="K113" s="1" cm="1">
        <f t="array" ref="K113">J113 * _xlfn.SWITCH(I113, 90000, 78/90, 42000, 36/42, 25000, 21/25, 15000, 12.5/15, 0.7)</f>
        <v>2100</v>
      </c>
      <c r="L113" s="1">
        <f t="shared" si="7"/>
        <v>900</v>
      </c>
      <c r="M113" s="1">
        <f t="shared" si="8"/>
        <v>30</v>
      </c>
    </row>
    <row r="114" spans="1:13" x14ac:dyDescent="0.25">
      <c r="A114" s="1">
        <v>112</v>
      </c>
      <c r="B114" s="1">
        <v>1112</v>
      </c>
      <c r="C114" s="4">
        <v>46035</v>
      </c>
      <c r="D114" s="1" t="s">
        <v>8</v>
      </c>
      <c r="E114" s="1" t="s">
        <v>15</v>
      </c>
      <c r="F114" s="1" t="str">
        <f t="shared" ca="1" si="9"/>
        <v>Pune</v>
      </c>
      <c r="G114" s="1" t="str">
        <f t="shared" ca="1" si="10"/>
        <v>Priya</v>
      </c>
      <c r="H114" s="1">
        <v>2</v>
      </c>
      <c r="I114" s="1">
        <f t="shared" si="11"/>
        <v>90000</v>
      </c>
      <c r="J114" s="1">
        <f t="shared" si="6"/>
        <v>180000</v>
      </c>
      <c r="K114" s="1" cm="1">
        <f t="array" ref="K114">J114 * _xlfn.SWITCH(I114, 90000, 78/90, 42000, 36/42, 25000, 21/25, 15000, 12.5/15, 0.7)</f>
        <v>156000</v>
      </c>
      <c r="L114" s="1">
        <f t="shared" si="7"/>
        <v>24000</v>
      </c>
      <c r="M114" s="1">
        <f t="shared" si="8"/>
        <v>13.33</v>
      </c>
    </row>
    <row r="115" spans="1:13" x14ac:dyDescent="0.25">
      <c r="A115" s="2">
        <v>113</v>
      </c>
      <c r="B115" s="1">
        <v>1113</v>
      </c>
      <c r="C115" s="4">
        <v>46035</v>
      </c>
      <c r="D115" s="1" t="s">
        <v>11</v>
      </c>
      <c r="E115" s="1" t="s">
        <v>15</v>
      </c>
      <c r="F115" s="1" t="str">
        <f t="shared" ca="1" si="9"/>
        <v>Delhi</v>
      </c>
      <c r="G115" s="1" t="str">
        <f t="shared" ca="1" si="10"/>
        <v>Priya</v>
      </c>
      <c r="H115" s="1">
        <v>3</v>
      </c>
      <c r="I115" s="1">
        <f t="shared" si="11"/>
        <v>42000</v>
      </c>
      <c r="J115" s="1">
        <f t="shared" si="6"/>
        <v>126000</v>
      </c>
      <c r="K115" s="1" cm="1">
        <f t="array" ref="K115">J115 * _xlfn.SWITCH(I115, 90000, 78/90, 42000, 36/42, 25000, 21/25, 15000, 12.5/15, 0.7)</f>
        <v>108000</v>
      </c>
      <c r="L115" s="1">
        <f t="shared" si="7"/>
        <v>18000</v>
      </c>
      <c r="M115" s="1">
        <f t="shared" si="8"/>
        <v>14.29</v>
      </c>
    </row>
    <row r="116" spans="1:13" x14ac:dyDescent="0.25">
      <c r="A116" s="1">
        <v>114</v>
      </c>
      <c r="B116" s="1">
        <v>1114</v>
      </c>
      <c r="C116" s="4">
        <v>46035</v>
      </c>
      <c r="D116" s="1" t="s">
        <v>13</v>
      </c>
      <c r="E116" s="1" t="s">
        <v>16</v>
      </c>
      <c r="F116" s="1" t="str">
        <f t="shared" ca="1" si="9"/>
        <v>Dehradun</v>
      </c>
      <c r="G116" s="1" t="str">
        <f t="shared" ca="1" si="10"/>
        <v>Aman</v>
      </c>
      <c r="H116" s="1">
        <v>3</v>
      </c>
      <c r="I116" s="1">
        <f t="shared" si="11"/>
        <v>15000</v>
      </c>
      <c r="J116" s="1">
        <f t="shared" si="6"/>
        <v>45000</v>
      </c>
      <c r="K116" s="1" cm="1">
        <f t="array" ref="K116">J116 * _xlfn.SWITCH(I116, 90000, 78/90, 42000, 36/42, 25000, 21/25, 15000, 12.5/15, 0.7)</f>
        <v>37500</v>
      </c>
      <c r="L116" s="1">
        <f t="shared" si="7"/>
        <v>7500</v>
      </c>
      <c r="M116" s="1">
        <f t="shared" si="8"/>
        <v>16.670000000000002</v>
      </c>
    </row>
    <row r="117" spans="1:13" x14ac:dyDescent="0.25">
      <c r="A117" s="2">
        <v>115</v>
      </c>
      <c r="B117" s="1">
        <v>1115</v>
      </c>
      <c r="C117" s="4">
        <v>46036</v>
      </c>
      <c r="D117" s="1" t="s">
        <v>10</v>
      </c>
      <c r="E117" s="1" t="s">
        <v>15</v>
      </c>
      <c r="F117" s="1" t="str">
        <f t="shared" ca="1" si="9"/>
        <v>Dehradun</v>
      </c>
      <c r="G117" s="1" t="str">
        <f t="shared" ca="1" si="10"/>
        <v>Simran</v>
      </c>
      <c r="H117" s="1">
        <v>2</v>
      </c>
      <c r="I117" s="1">
        <f t="shared" si="11"/>
        <v>2000</v>
      </c>
      <c r="J117" s="1">
        <f t="shared" si="6"/>
        <v>4000</v>
      </c>
      <c r="K117" s="1" cm="1">
        <f t="array" ref="K117">J117 * _xlfn.SWITCH(I117, 90000, 78/90, 42000, 36/42, 25000, 21/25, 15000, 12.5/15, 0.7)</f>
        <v>2800</v>
      </c>
      <c r="L117" s="1">
        <f t="shared" si="7"/>
        <v>1200</v>
      </c>
      <c r="M117" s="1">
        <f t="shared" si="8"/>
        <v>30</v>
      </c>
    </row>
    <row r="118" spans="1:13" x14ac:dyDescent="0.25">
      <c r="A118" s="1">
        <v>116</v>
      </c>
      <c r="B118" s="1">
        <v>1116</v>
      </c>
      <c r="C118" s="4">
        <v>46036</v>
      </c>
      <c r="D118" s="1" t="s">
        <v>12</v>
      </c>
      <c r="E118" s="1" t="s">
        <v>15</v>
      </c>
      <c r="F118" s="1" t="str">
        <f t="shared" ca="1" si="9"/>
        <v>Mumbai</v>
      </c>
      <c r="G118" s="1" t="str">
        <f t="shared" ca="1" si="10"/>
        <v>Rahul</v>
      </c>
      <c r="H118" s="1">
        <v>3</v>
      </c>
      <c r="I118" s="1">
        <f t="shared" si="11"/>
        <v>3000</v>
      </c>
      <c r="J118" s="1">
        <f t="shared" si="6"/>
        <v>9000</v>
      </c>
      <c r="K118" s="1" cm="1">
        <f t="array" ref="K118">J118 * _xlfn.SWITCH(I118, 90000, 78/90, 42000, 36/42, 25000, 21/25, 15000, 12.5/15, 0.7)</f>
        <v>6300</v>
      </c>
      <c r="L118" s="1">
        <f t="shared" si="7"/>
        <v>2700</v>
      </c>
      <c r="M118" s="1">
        <f t="shared" si="8"/>
        <v>30</v>
      </c>
    </row>
    <row r="119" spans="1:13" x14ac:dyDescent="0.25">
      <c r="A119" s="2">
        <v>117</v>
      </c>
      <c r="B119" s="1">
        <v>1117</v>
      </c>
      <c r="C119" s="4">
        <v>46036</v>
      </c>
      <c r="D119" s="1" t="s">
        <v>9</v>
      </c>
      <c r="E119" s="1" t="s">
        <v>15</v>
      </c>
      <c r="F119" s="1" t="str">
        <f t="shared" ca="1" si="9"/>
        <v>Delhi</v>
      </c>
      <c r="G119" s="1" t="str">
        <f t="shared" ca="1" si="10"/>
        <v>Aman</v>
      </c>
      <c r="H119" s="1">
        <v>3</v>
      </c>
      <c r="I119" s="1">
        <f t="shared" si="11"/>
        <v>90000</v>
      </c>
      <c r="J119" s="1">
        <f t="shared" si="6"/>
        <v>270000</v>
      </c>
      <c r="K119" s="1" cm="1">
        <f t="array" ref="K119">J119 * _xlfn.SWITCH(I119, 90000, 78/90, 42000, 36/42, 25000, 21/25, 15000, 12.5/15, 0.7)</f>
        <v>234000</v>
      </c>
      <c r="L119" s="1">
        <f t="shared" si="7"/>
        <v>36000</v>
      </c>
      <c r="M119" s="1">
        <f t="shared" si="8"/>
        <v>13.33</v>
      </c>
    </row>
    <row r="120" spans="1:13" x14ac:dyDescent="0.25">
      <c r="A120" s="1">
        <v>118</v>
      </c>
      <c r="B120" s="1">
        <v>1118</v>
      </c>
      <c r="C120" s="4">
        <v>46037</v>
      </c>
      <c r="D120" s="1" t="s">
        <v>10</v>
      </c>
      <c r="E120" s="1" t="s">
        <v>15</v>
      </c>
      <c r="F120" s="1" t="str">
        <f t="shared" ca="1" si="9"/>
        <v>Banglore</v>
      </c>
      <c r="G120" s="1" t="str">
        <f t="shared" ca="1" si="10"/>
        <v>Aman</v>
      </c>
      <c r="H120" s="1">
        <v>2</v>
      </c>
      <c r="I120" s="1">
        <f t="shared" si="11"/>
        <v>90000</v>
      </c>
      <c r="J120" s="1">
        <f t="shared" si="6"/>
        <v>180000</v>
      </c>
      <c r="K120" s="1" cm="1">
        <f t="array" ref="K120">J120 * _xlfn.SWITCH(I120, 90000, 78/90, 42000, 36/42, 25000, 21/25, 15000, 12.5/15, 0.7)</f>
        <v>156000</v>
      </c>
      <c r="L120" s="1">
        <f t="shared" si="7"/>
        <v>24000</v>
      </c>
      <c r="M120" s="1">
        <f t="shared" si="8"/>
        <v>13.33</v>
      </c>
    </row>
    <row r="121" spans="1:13" x14ac:dyDescent="0.25">
      <c r="A121" s="2">
        <v>119</v>
      </c>
      <c r="B121" s="1">
        <v>1119</v>
      </c>
      <c r="C121" s="4">
        <v>46037</v>
      </c>
      <c r="D121" s="1" t="s">
        <v>12</v>
      </c>
      <c r="E121" s="1" t="s">
        <v>15</v>
      </c>
      <c r="F121" s="1" t="str">
        <f t="shared" ca="1" si="9"/>
        <v>Dehradun</v>
      </c>
      <c r="G121" s="1" t="str">
        <f t="shared" ca="1" si="10"/>
        <v>Rahul</v>
      </c>
      <c r="H121" s="1">
        <v>2</v>
      </c>
      <c r="I121" s="1">
        <f t="shared" si="11"/>
        <v>3000</v>
      </c>
      <c r="J121" s="1">
        <f t="shared" si="6"/>
        <v>6000</v>
      </c>
      <c r="K121" s="1" cm="1">
        <f t="array" ref="K121">J121 * _xlfn.SWITCH(I121, 90000, 78/90, 42000, 36/42, 25000, 21/25, 15000, 12.5/15, 0.7)</f>
        <v>4200</v>
      </c>
      <c r="L121" s="1">
        <f t="shared" si="7"/>
        <v>1800</v>
      </c>
      <c r="M121" s="1">
        <f t="shared" si="8"/>
        <v>30</v>
      </c>
    </row>
    <row r="122" spans="1:13" x14ac:dyDescent="0.25">
      <c r="A122" s="1">
        <v>120</v>
      </c>
      <c r="B122" s="1">
        <v>1120</v>
      </c>
      <c r="C122" s="4">
        <v>46037</v>
      </c>
      <c r="D122" s="1" t="s">
        <v>14</v>
      </c>
      <c r="E122" s="1" t="s">
        <v>16</v>
      </c>
      <c r="F122" s="1" t="str">
        <f t="shared" ca="1" si="9"/>
        <v>Pune</v>
      </c>
      <c r="G122" s="1" t="str">
        <f t="shared" ca="1" si="10"/>
        <v>Priya</v>
      </c>
      <c r="H122" s="1">
        <v>2</v>
      </c>
      <c r="I122" s="1">
        <f t="shared" si="11"/>
        <v>90000</v>
      </c>
      <c r="J122" s="1">
        <f t="shared" si="6"/>
        <v>180000</v>
      </c>
      <c r="K122" s="1" cm="1">
        <f t="array" ref="K122">J122 * _xlfn.SWITCH(I122, 90000, 78/90, 42000, 36/42, 25000, 21/25, 15000, 12.5/15, 0.7)</f>
        <v>156000</v>
      </c>
      <c r="L122" s="1">
        <f t="shared" si="7"/>
        <v>24000</v>
      </c>
      <c r="M122" s="1">
        <f t="shared" si="8"/>
        <v>13.33</v>
      </c>
    </row>
    <row r="123" spans="1:13" x14ac:dyDescent="0.25">
      <c r="A123" s="2">
        <v>121</v>
      </c>
      <c r="B123" s="1">
        <v>1121</v>
      </c>
      <c r="C123" s="4">
        <v>46038</v>
      </c>
      <c r="D123" s="1" t="s">
        <v>12</v>
      </c>
      <c r="E123" s="1" t="s">
        <v>15</v>
      </c>
      <c r="F123" s="1" t="str">
        <f t="shared" ca="1" si="9"/>
        <v>Pune</v>
      </c>
      <c r="G123" s="1" t="str">
        <f t="shared" ca="1" si="10"/>
        <v>Simran</v>
      </c>
      <c r="H123" s="1">
        <v>3</v>
      </c>
      <c r="I123" s="1">
        <f t="shared" si="11"/>
        <v>3000</v>
      </c>
      <c r="J123" s="1">
        <f t="shared" si="6"/>
        <v>9000</v>
      </c>
      <c r="K123" s="1" cm="1">
        <f t="array" ref="K123">J123 * _xlfn.SWITCH(I123, 90000, 78/90, 42000, 36/42, 25000, 21/25, 15000, 12.5/15, 0.7)</f>
        <v>6300</v>
      </c>
      <c r="L123" s="1">
        <f t="shared" si="7"/>
        <v>2700</v>
      </c>
      <c r="M123" s="1">
        <f t="shared" si="8"/>
        <v>30</v>
      </c>
    </row>
    <row r="124" spans="1:13" x14ac:dyDescent="0.25">
      <c r="A124" s="1">
        <v>122</v>
      </c>
      <c r="B124" s="1">
        <v>1122</v>
      </c>
      <c r="C124" s="4">
        <v>46038</v>
      </c>
      <c r="D124" s="1" t="s">
        <v>14</v>
      </c>
      <c r="E124" s="1" t="s">
        <v>16</v>
      </c>
      <c r="F124" s="1" t="str">
        <f t="shared" ca="1" si="9"/>
        <v>Banglore</v>
      </c>
      <c r="G124" s="1" t="str">
        <f t="shared" ca="1" si="10"/>
        <v>Priya</v>
      </c>
      <c r="H124" s="1">
        <v>2</v>
      </c>
      <c r="I124" s="1">
        <f t="shared" si="11"/>
        <v>90000</v>
      </c>
      <c r="J124" s="1">
        <f t="shared" si="6"/>
        <v>180000</v>
      </c>
      <c r="K124" s="1" cm="1">
        <f t="array" ref="K124">J124 * _xlfn.SWITCH(I124, 90000, 78/90, 42000, 36/42, 25000, 21/25, 15000, 12.5/15, 0.7)</f>
        <v>156000</v>
      </c>
      <c r="L124" s="1">
        <f t="shared" si="7"/>
        <v>24000</v>
      </c>
      <c r="M124" s="1">
        <f t="shared" si="8"/>
        <v>13.33</v>
      </c>
    </row>
    <row r="125" spans="1:13" x14ac:dyDescent="0.25">
      <c r="A125" s="2">
        <v>123</v>
      </c>
      <c r="B125" s="1">
        <v>1123</v>
      </c>
      <c r="C125" s="4">
        <v>46038</v>
      </c>
      <c r="D125" s="1" t="s">
        <v>14</v>
      </c>
      <c r="E125" s="1" t="s">
        <v>16</v>
      </c>
      <c r="F125" s="1" t="str">
        <f t="shared" ca="1" si="9"/>
        <v>Delhi</v>
      </c>
      <c r="G125" s="1" t="str">
        <f t="shared" ca="1" si="10"/>
        <v>Priya</v>
      </c>
      <c r="H125" s="1">
        <v>3</v>
      </c>
      <c r="I125" s="1">
        <f t="shared" si="11"/>
        <v>3000</v>
      </c>
      <c r="J125" s="1">
        <f t="shared" si="6"/>
        <v>9000</v>
      </c>
      <c r="K125" s="1" cm="1">
        <f t="array" ref="K125">J125 * _xlfn.SWITCH(I125, 90000, 78/90, 42000, 36/42, 25000, 21/25, 15000, 12.5/15, 0.7)</f>
        <v>6300</v>
      </c>
      <c r="L125" s="1">
        <f t="shared" si="7"/>
        <v>2700</v>
      </c>
      <c r="M125" s="1">
        <f t="shared" si="8"/>
        <v>30</v>
      </c>
    </row>
    <row r="126" spans="1:13" x14ac:dyDescent="0.25">
      <c r="A126" s="1">
        <v>124</v>
      </c>
      <c r="B126" s="1">
        <v>1124</v>
      </c>
      <c r="C126" s="4">
        <v>46039</v>
      </c>
      <c r="D126" s="1" t="s">
        <v>9</v>
      </c>
      <c r="E126" s="1" t="s">
        <v>15</v>
      </c>
      <c r="F126" s="1" t="str">
        <f t="shared" ca="1" si="9"/>
        <v>Pune</v>
      </c>
      <c r="G126" s="1" t="str">
        <f t="shared" ca="1" si="10"/>
        <v>Rahul</v>
      </c>
      <c r="H126" s="1">
        <v>3</v>
      </c>
      <c r="I126" s="1">
        <f t="shared" si="11"/>
        <v>3000</v>
      </c>
      <c r="J126" s="1">
        <f t="shared" si="6"/>
        <v>9000</v>
      </c>
      <c r="K126" s="1" cm="1">
        <f t="array" ref="K126">J126 * _xlfn.SWITCH(I126, 90000, 78/90, 42000, 36/42, 25000, 21/25, 15000, 12.5/15, 0.7)</f>
        <v>6300</v>
      </c>
      <c r="L126" s="1">
        <f t="shared" si="7"/>
        <v>2700</v>
      </c>
      <c r="M126" s="1">
        <f t="shared" si="8"/>
        <v>30</v>
      </c>
    </row>
    <row r="127" spans="1:13" x14ac:dyDescent="0.25">
      <c r="A127" s="2">
        <v>125</v>
      </c>
      <c r="B127" s="1">
        <v>1125</v>
      </c>
      <c r="C127" s="4">
        <v>46039</v>
      </c>
      <c r="D127" s="1" t="s">
        <v>12</v>
      </c>
      <c r="E127" s="1" t="s">
        <v>15</v>
      </c>
      <c r="F127" s="1" t="str">
        <f t="shared" ca="1" si="9"/>
        <v>Hyderabad</v>
      </c>
      <c r="G127" s="1" t="str">
        <f t="shared" ca="1" si="10"/>
        <v>Priya</v>
      </c>
      <c r="H127" s="1">
        <v>3</v>
      </c>
      <c r="I127" s="1">
        <f t="shared" si="11"/>
        <v>90000</v>
      </c>
      <c r="J127" s="1">
        <f t="shared" si="6"/>
        <v>270000</v>
      </c>
      <c r="K127" s="1" cm="1">
        <f t="array" ref="K127">J127 * _xlfn.SWITCH(I127, 90000, 78/90, 42000, 36/42, 25000, 21/25, 15000, 12.5/15, 0.7)</f>
        <v>234000</v>
      </c>
      <c r="L127" s="1">
        <f t="shared" si="7"/>
        <v>36000</v>
      </c>
      <c r="M127" s="1">
        <f t="shared" si="8"/>
        <v>13.33</v>
      </c>
    </row>
    <row r="128" spans="1:13" x14ac:dyDescent="0.25">
      <c r="A128" s="1">
        <v>126</v>
      </c>
      <c r="B128" s="1">
        <v>1126</v>
      </c>
      <c r="C128" s="4">
        <v>46039</v>
      </c>
      <c r="D128" s="1" t="s">
        <v>11</v>
      </c>
      <c r="E128" s="1" t="s">
        <v>15</v>
      </c>
      <c r="F128" s="1" t="str">
        <f t="shared" ca="1" si="9"/>
        <v>Mumbai</v>
      </c>
      <c r="G128" s="1" t="str">
        <f t="shared" ca="1" si="10"/>
        <v>Priya</v>
      </c>
      <c r="H128" s="1">
        <v>2</v>
      </c>
      <c r="I128" s="1">
        <f t="shared" si="11"/>
        <v>90000</v>
      </c>
      <c r="J128" s="1">
        <f t="shared" si="6"/>
        <v>180000</v>
      </c>
      <c r="K128" s="1" cm="1">
        <f t="array" ref="K128">J128 * _xlfn.SWITCH(I128, 90000, 78/90, 42000, 36/42, 25000, 21/25, 15000, 12.5/15, 0.7)</f>
        <v>156000</v>
      </c>
      <c r="L128" s="1">
        <f t="shared" si="7"/>
        <v>24000</v>
      </c>
      <c r="M128" s="1">
        <f t="shared" si="8"/>
        <v>13.33</v>
      </c>
    </row>
    <row r="129" spans="1:13" x14ac:dyDescent="0.25">
      <c r="A129" s="2">
        <v>127</v>
      </c>
      <c r="B129" s="1">
        <v>1127</v>
      </c>
      <c r="C129" s="4">
        <v>46040</v>
      </c>
      <c r="D129" s="1" t="s">
        <v>12</v>
      </c>
      <c r="E129" s="1" t="s">
        <v>15</v>
      </c>
      <c r="F129" s="1" t="str">
        <f t="shared" ca="1" si="9"/>
        <v>Dehradun</v>
      </c>
      <c r="G129" s="1" t="str">
        <f t="shared" ca="1" si="10"/>
        <v>Rahul</v>
      </c>
      <c r="H129" s="1">
        <v>1</v>
      </c>
      <c r="I129" s="1">
        <f t="shared" si="11"/>
        <v>15000</v>
      </c>
      <c r="J129" s="1">
        <f t="shared" si="6"/>
        <v>15000</v>
      </c>
      <c r="K129" s="1" cm="1">
        <f t="array" ref="K129">J129 * _xlfn.SWITCH(I129, 90000, 78/90, 42000, 36/42, 25000, 21/25, 15000, 12.5/15, 0.7)</f>
        <v>12500</v>
      </c>
      <c r="L129" s="1">
        <f t="shared" si="7"/>
        <v>2500</v>
      </c>
      <c r="M129" s="1">
        <f t="shared" si="8"/>
        <v>16.670000000000002</v>
      </c>
    </row>
    <row r="130" spans="1:13" x14ac:dyDescent="0.25">
      <c r="A130" s="1">
        <v>128</v>
      </c>
      <c r="B130" s="1">
        <v>1128</v>
      </c>
      <c r="C130" s="4">
        <v>46040</v>
      </c>
      <c r="D130" s="1" t="s">
        <v>13</v>
      </c>
      <c r="E130" s="1" t="s">
        <v>16</v>
      </c>
      <c r="F130" s="1" t="str">
        <f t="shared" ca="1" si="9"/>
        <v>Hyderabad</v>
      </c>
      <c r="G130" s="1" t="str">
        <f t="shared" ca="1" si="10"/>
        <v>Rahul</v>
      </c>
      <c r="H130" s="1">
        <v>3</v>
      </c>
      <c r="I130" s="1">
        <f t="shared" si="11"/>
        <v>90000</v>
      </c>
      <c r="J130" s="1">
        <f t="shared" si="6"/>
        <v>270000</v>
      </c>
      <c r="K130" s="1" cm="1">
        <f t="array" ref="K130">J130 * _xlfn.SWITCH(I130, 90000, 78/90, 42000, 36/42, 25000, 21/25, 15000, 12.5/15, 0.7)</f>
        <v>234000</v>
      </c>
      <c r="L130" s="1">
        <f t="shared" si="7"/>
        <v>36000</v>
      </c>
      <c r="M130" s="1">
        <f t="shared" si="8"/>
        <v>13.33</v>
      </c>
    </row>
    <row r="131" spans="1:13" x14ac:dyDescent="0.25">
      <c r="A131" s="2">
        <v>129</v>
      </c>
      <c r="B131" s="1">
        <v>1129</v>
      </c>
      <c r="C131" s="4">
        <v>46040</v>
      </c>
      <c r="D131" s="1" t="s">
        <v>10</v>
      </c>
      <c r="E131" s="1" t="s">
        <v>15</v>
      </c>
      <c r="F131" s="1" t="str">
        <f t="shared" ca="1" si="9"/>
        <v>Dehradun</v>
      </c>
      <c r="G131" s="1" t="str">
        <f t="shared" ca="1" si="10"/>
        <v>Priya</v>
      </c>
      <c r="H131" s="1">
        <v>3</v>
      </c>
      <c r="I131" s="1">
        <f t="shared" si="11"/>
        <v>2000</v>
      </c>
      <c r="J131" s="1">
        <f t="shared" si="6"/>
        <v>6000</v>
      </c>
      <c r="K131" s="1" cm="1">
        <f t="array" ref="K131">J131 * _xlfn.SWITCH(I131, 90000, 78/90, 42000, 36/42, 25000, 21/25, 15000, 12.5/15, 0.7)</f>
        <v>4200</v>
      </c>
      <c r="L131" s="1">
        <f t="shared" si="7"/>
        <v>1800</v>
      </c>
      <c r="M131" s="1">
        <f t="shared" si="8"/>
        <v>30</v>
      </c>
    </row>
    <row r="132" spans="1:13" x14ac:dyDescent="0.25">
      <c r="A132" s="1">
        <v>130</v>
      </c>
      <c r="B132" s="1">
        <v>1130</v>
      </c>
      <c r="C132" s="4">
        <v>46040</v>
      </c>
      <c r="D132" s="1" t="s">
        <v>14</v>
      </c>
      <c r="E132" s="1" t="s">
        <v>16</v>
      </c>
      <c r="F132" s="1" t="str">
        <f t="shared" ca="1" si="9"/>
        <v>Pune</v>
      </c>
      <c r="G132" s="1" t="str">
        <f t="shared" ca="1" si="10"/>
        <v>Simran</v>
      </c>
      <c r="H132" s="1">
        <v>3</v>
      </c>
      <c r="I132" s="1">
        <f t="shared" si="11"/>
        <v>3000</v>
      </c>
      <c r="J132" s="1">
        <f t="shared" ref="J132:J195" si="12">H132*I132</f>
        <v>9000</v>
      </c>
      <c r="K132" s="1" cm="1">
        <f t="array" ref="K132">J132 * _xlfn.SWITCH(I132, 90000, 78/90, 42000, 36/42, 25000, 21/25, 15000, 12.5/15, 0.7)</f>
        <v>6300</v>
      </c>
      <c r="L132" s="1">
        <f t="shared" ref="L132:L195" si="13">J132-K132</f>
        <v>2700</v>
      </c>
      <c r="M132" s="1">
        <f t="shared" ref="M132:M195" si="14">ROUND(L132/J132*100,2)</f>
        <v>30</v>
      </c>
    </row>
    <row r="133" spans="1:13" x14ac:dyDescent="0.25">
      <c r="A133" s="2">
        <v>131</v>
      </c>
      <c r="B133" s="1">
        <v>1131</v>
      </c>
      <c r="C133" s="4">
        <v>46041</v>
      </c>
      <c r="D133" s="1" t="s">
        <v>9</v>
      </c>
      <c r="E133" s="1" t="s">
        <v>15</v>
      </c>
      <c r="F133" s="1" t="str">
        <f t="shared" ca="1" si="9"/>
        <v>Dehradun</v>
      </c>
      <c r="G133" s="1" t="str">
        <f t="shared" ca="1" si="10"/>
        <v>Aman</v>
      </c>
      <c r="H133" s="1">
        <v>2</v>
      </c>
      <c r="I133" s="1">
        <f t="shared" si="11"/>
        <v>3000</v>
      </c>
      <c r="J133" s="1">
        <f t="shared" si="12"/>
        <v>6000</v>
      </c>
      <c r="K133" s="1" cm="1">
        <f t="array" ref="K133">J133 * _xlfn.SWITCH(I133, 90000, 78/90, 42000, 36/42, 25000, 21/25, 15000, 12.5/15, 0.7)</f>
        <v>4200</v>
      </c>
      <c r="L133" s="1">
        <f t="shared" si="13"/>
        <v>1800</v>
      </c>
      <c r="M133" s="1">
        <f t="shared" si="14"/>
        <v>30</v>
      </c>
    </row>
    <row r="134" spans="1:13" x14ac:dyDescent="0.25">
      <c r="A134" s="1">
        <v>132</v>
      </c>
      <c r="B134" s="1">
        <v>1132</v>
      </c>
      <c r="C134" s="4">
        <v>46041</v>
      </c>
      <c r="D134" s="1" t="s">
        <v>10</v>
      </c>
      <c r="E134" s="1" t="s">
        <v>15</v>
      </c>
      <c r="F134" s="1" t="str">
        <f t="shared" ca="1" si="9"/>
        <v>Banglore</v>
      </c>
      <c r="G134" s="1" t="str">
        <f t="shared" ca="1" si="10"/>
        <v>Rahul</v>
      </c>
      <c r="H134" s="1">
        <v>2</v>
      </c>
      <c r="I134" s="1">
        <f t="shared" si="11"/>
        <v>90000</v>
      </c>
      <c r="J134" s="1">
        <f t="shared" si="12"/>
        <v>180000</v>
      </c>
      <c r="K134" s="1" cm="1">
        <f t="array" ref="K134">J134 * _xlfn.SWITCH(I134, 90000, 78/90, 42000, 36/42, 25000, 21/25, 15000, 12.5/15, 0.7)</f>
        <v>156000</v>
      </c>
      <c r="L134" s="1">
        <f t="shared" si="13"/>
        <v>24000</v>
      </c>
      <c r="M134" s="1">
        <f t="shared" si="14"/>
        <v>13.33</v>
      </c>
    </row>
    <row r="135" spans="1:13" x14ac:dyDescent="0.25">
      <c r="A135" s="2">
        <v>133</v>
      </c>
      <c r="B135" s="1">
        <v>1133</v>
      </c>
      <c r="C135" s="4">
        <v>46041</v>
      </c>
      <c r="D135" s="1" t="s">
        <v>8</v>
      </c>
      <c r="E135" s="1" t="s">
        <v>15</v>
      </c>
      <c r="F135" s="1" t="str">
        <f t="shared" ca="1" si="9"/>
        <v>Hyderabad</v>
      </c>
      <c r="G135" s="1" t="str">
        <f t="shared" ca="1" si="10"/>
        <v>Priya</v>
      </c>
      <c r="H135" s="1">
        <v>1</v>
      </c>
      <c r="I135" s="1">
        <f t="shared" si="11"/>
        <v>3000</v>
      </c>
      <c r="J135" s="1">
        <f t="shared" si="12"/>
        <v>3000</v>
      </c>
      <c r="K135" s="1" cm="1">
        <f t="array" ref="K135">J135 * _xlfn.SWITCH(I135, 90000, 78/90, 42000, 36/42, 25000, 21/25, 15000, 12.5/15, 0.7)</f>
        <v>2100</v>
      </c>
      <c r="L135" s="1">
        <f t="shared" si="13"/>
        <v>900</v>
      </c>
      <c r="M135" s="1">
        <f t="shared" si="14"/>
        <v>30</v>
      </c>
    </row>
    <row r="136" spans="1:13" x14ac:dyDescent="0.25">
      <c r="A136" s="1">
        <v>134</v>
      </c>
      <c r="B136" s="1">
        <v>1134</v>
      </c>
      <c r="C136" s="4">
        <v>46041</v>
      </c>
      <c r="D136" s="1" t="s">
        <v>11</v>
      </c>
      <c r="E136" s="1" t="s">
        <v>15</v>
      </c>
      <c r="F136" s="1" t="str">
        <f t="shared" ca="1" si="9"/>
        <v>Banglore</v>
      </c>
      <c r="G136" s="1" t="str">
        <f t="shared" ca="1" si="10"/>
        <v>Priya</v>
      </c>
      <c r="H136" s="1">
        <v>3</v>
      </c>
      <c r="I136" s="1">
        <f t="shared" si="11"/>
        <v>42000</v>
      </c>
      <c r="J136" s="1">
        <f t="shared" si="12"/>
        <v>126000</v>
      </c>
      <c r="K136" s="1" cm="1">
        <f t="array" ref="K136">J136 * _xlfn.SWITCH(I136, 90000, 78/90, 42000, 36/42, 25000, 21/25, 15000, 12.5/15, 0.7)</f>
        <v>108000</v>
      </c>
      <c r="L136" s="1">
        <f t="shared" si="13"/>
        <v>18000</v>
      </c>
      <c r="M136" s="1">
        <f t="shared" si="14"/>
        <v>14.29</v>
      </c>
    </row>
    <row r="137" spans="1:13" x14ac:dyDescent="0.25">
      <c r="A137" s="2">
        <v>135</v>
      </c>
      <c r="B137" s="1">
        <v>1135</v>
      </c>
      <c r="C137" s="4">
        <v>46041</v>
      </c>
      <c r="D137" s="1" t="s">
        <v>11</v>
      </c>
      <c r="E137" s="1" t="s">
        <v>15</v>
      </c>
      <c r="F137" s="1" t="str">
        <f t="shared" ca="1" si="9"/>
        <v>Pune</v>
      </c>
      <c r="G137" s="1" t="str">
        <f t="shared" ca="1" si="10"/>
        <v>Priya</v>
      </c>
      <c r="H137" s="1">
        <v>2</v>
      </c>
      <c r="I137" s="1">
        <f t="shared" si="11"/>
        <v>15000</v>
      </c>
      <c r="J137" s="1">
        <f t="shared" si="12"/>
        <v>30000</v>
      </c>
      <c r="K137" s="1" cm="1">
        <f t="array" ref="K137">J137 * _xlfn.SWITCH(I137, 90000, 78/90, 42000, 36/42, 25000, 21/25, 15000, 12.5/15, 0.7)</f>
        <v>25000</v>
      </c>
      <c r="L137" s="1">
        <f t="shared" si="13"/>
        <v>5000</v>
      </c>
      <c r="M137" s="1">
        <f t="shared" si="14"/>
        <v>16.670000000000002</v>
      </c>
    </row>
    <row r="138" spans="1:13" x14ac:dyDescent="0.25">
      <c r="A138" s="1">
        <v>136</v>
      </c>
      <c r="B138" s="1">
        <v>1136</v>
      </c>
      <c r="C138" s="4">
        <v>46042</v>
      </c>
      <c r="D138" s="1" t="s">
        <v>11</v>
      </c>
      <c r="E138" s="1" t="s">
        <v>15</v>
      </c>
      <c r="F138" s="1" t="str">
        <f t="shared" ca="1" si="9"/>
        <v>Delhi</v>
      </c>
      <c r="G138" s="1" t="str">
        <f t="shared" ca="1" si="10"/>
        <v>Priya</v>
      </c>
      <c r="H138" s="1">
        <v>1</v>
      </c>
      <c r="I138" s="1">
        <f t="shared" si="11"/>
        <v>15000</v>
      </c>
      <c r="J138" s="1">
        <f t="shared" si="12"/>
        <v>15000</v>
      </c>
      <c r="K138" s="1" cm="1">
        <f t="array" ref="K138">J138 * _xlfn.SWITCH(I138, 90000, 78/90, 42000, 36/42, 25000, 21/25, 15000, 12.5/15, 0.7)</f>
        <v>12500</v>
      </c>
      <c r="L138" s="1">
        <f t="shared" si="13"/>
        <v>2500</v>
      </c>
      <c r="M138" s="1">
        <f t="shared" si="14"/>
        <v>16.670000000000002</v>
      </c>
    </row>
    <row r="139" spans="1:13" x14ac:dyDescent="0.25">
      <c r="A139" s="2">
        <v>137</v>
      </c>
      <c r="B139" s="1">
        <v>1137</v>
      </c>
      <c r="C139" s="4">
        <v>46042</v>
      </c>
      <c r="D139" s="1" t="s">
        <v>13</v>
      </c>
      <c r="E139" s="1" t="s">
        <v>16</v>
      </c>
      <c r="F139" s="1" t="str">
        <f t="shared" ca="1" si="9"/>
        <v>Delhi</v>
      </c>
      <c r="G139" s="1" t="str">
        <f t="shared" ca="1" si="10"/>
        <v>Rahul</v>
      </c>
      <c r="H139" s="1">
        <v>3</v>
      </c>
      <c r="I139" s="1">
        <f t="shared" si="11"/>
        <v>15000</v>
      </c>
      <c r="J139" s="1">
        <f t="shared" si="12"/>
        <v>45000</v>
      </c>
      <c r="K139" s="1" cm="1">
        <f t="array" ref="K139">J139 * _xlfn.SWITCH(I139, 90000, 78/90, 42000, 36/42, 25000, 21/25, 15000, 12.5/15, 0.7)</f>
        <v>37500</v>
      </c>
      <c r="L139" s="1">
        <f t="shared" si="13"/>
        <v>7500</v>
      </c>
      <c r="M139" s="1">
        <f t="shared" si="14"/>
        <v>16.670000000000002</v>
      </c>
    </row>
    <row r="140" spans="1:13" x14ac:dyDescent="0.25">
      <c r="A140" s="1">
        <v>138</v>
      </c>
      <c r="B140" s="1">
        <v>1138</v>
      </c>
      <c r="C140" s="4">
        <v>46042</v>
      </c>
      <c r="D140" s="1" t="s">
        <v>11</v>
      </c>
      <c r="E140" s="1" t="s">
        <v>15</v>
      </c>
      <c r="F140" s="1" t="str">
        <f t="shared" ca="1" si="9"/>
        <v>Banglore</v>
      </c>
      <c r="G140" s="1" t="str">
        <f t="shared" ca="1" si="10"/>
        <v>Simran</v>
      </c>
      <c r="H140" s="1">
        <v>1</v>
      </c>
      <c r="I140" s="1">
        <f t="shared" si="11"/>
        <v>2000</v>
      </c>
      <c r="J140" s="1">
        <f t="shared" si="12"/>
        <v>2000</v>
      </c>
      <c r="K140" s="1" cm="1">
        <f t="array" ref="K140">J140 * _xlfn.SWITCH(I140, 90000, 78/90, 42000, 36/42, 25000, 21/25, 15000, 12.5/15, 0.7)</f>
        <v>1400</v>
      </c>
      <c r="L140" s="1">
        <f t="shared" si="13"/>
        <v>600</v>
      </c>
      <c r="M140" s="1">
        <f t="shared" si="14"/>
        <v>30</v>
      </c>
    </row>
    <row r="141" spans="1:13" x14ac:dyDescent="0.25">
      <c r="A141" s="2">
        <v>139</v>
      </c>
      <c r="B141" s="1">
        <v>1139</v>
      </c>
      <c r="C141" s="4">
        <v>46042</v>
      </c>
      <c r="D141" s="1" t="s">
        <v>11</v>
      </c>
      <c r="E141" s="1" t="s">
        <v>15</v>
      </c>
      <c r="F141" s="1" t="str">
        <f t="shared" ca="1" si="9"/>
        <v>Pune</v>
      </c>
      <c r="G141" s="1" t="str">
        <f t="shared" ca="1" si="10"/>
        <v>Aman</v>
      </c>
      <c r="H141" s="1">
        <v>1</v>
      </c>
      <c r="I141" s="1">
        <f t="shared" si="11"/>
        <v>15000</v>
      </c>
      <c r="J141" s="1">
        <f t="shared" si="12"/>
        <v>15000</v>
      </c>
      <c r="K141" s="1" cm="1">
        <f t="array" ref="K141">J141 * _xlfn.SWITCH(I141, 90000, 78/90, 42000, 36/42, 25000, 21/25, 15000, 12.5/15, 0.7)</f>
        <v>12500</v>
      </c>
      <c r="L141" s="1">
        <f t="shared" si="13"/>
        <v>2500</v>
      </c>
      <c r="M141" s="1">
        <f t="shared" si="14"/>
        <v>16.670000000000002</v>
      </c>
    </row>
    <row r="142" spans="1:13" x14ac:dyDescent="0.25">
      <c r="A142" s="1">
        <v>140</v>
      </c>
      <c r="B142" s="1">
        <v>1140</v>
      </c>
      <c r="C142" s="4">
        <v>46043</v>
      </c>
      <c r="D142" s="1" t="s">
        <v>12</v>
      </c>
      <c r="E142" s="1" t="s">
        <v>15</v>
      </c>
      <c r="F142" s="1" t="str">
        <f t="shared" ca="1" si="9"/>
        <v>Hyderabad</v>
      </c>
      <c r="G142" s="1" t="str">
        <f t="shared" ca="1" si="10"/>
        <v>Priya</v>
      </c>
      <c r="H142" s="1">
        <v>2</v>
      </c>
      <c r="I142" s="1">
        <f t="shared" si="11"/>
        <v>15000</v>
      </c>
      <c r="J142" s="1">
        <f t="shared" si="12"/>
        <v>30000</v>
      </c>
      <c r="K142" s="1" cm="1">
        <f t="array" ref="K142">J142 * _xlfn.SWITCH(I142, 90000, 78/90, 42000, 36/42, 25000, 21/25, 15000, 12.5/15, 0.7)</f>
        <v>25000</v>
      </c>
      <c r="L142" s="1">
        <f t="shared" si="13"/>
        <v>5000</v>
      </c>
      <c r="M142" s="1">
        <f t="shared" si="14"/>
        <v>16.670000000000002</v>
      </c>
    </row>
    <row r="143" spans="1:13" x14ac:dyDescent="0.25">
      <c r="A143" s="2">
        <v>141</v>
      </c>
      <c r="B143" s="1">
        <v>1141</v>
      </c>
      <c r="C143" s="4">
        <v>46045</v>
      </c>
      <c r="D143" s="1" t="s">
        <v>10</v>
      </c>
      <c r="E143" s="1" t="s">
        <v>15</v>
      </c>
      <c r="F143" s="1" t="str">
        <f t="shared" ca="1" si="9"/>
        <v>Dehradun</v>
      </c>
      <c r="G143" s="1" t="str">
        <f t="shared" ca="1" si="10"/>
        <v>Priya</v>
      </c>
      <c r="H143" s="1">
        <v>2</v>
      </c>
      <c r="I143" s="1">
        <f t="shared" si="11"/>
        <v>90000</v>
      </c>
      <c r="J143" s="1">
        <f t="shared" si="12"/>
        <v>180000</v>
      </c>
      <c r="K143" s="1" cm="1">
        <f t="array" ref="K143">J143 * _xlfn.SWITCH(I143, 90000, 78/90, 42000, 36/42, 25000, 21/25, 15000, 12.5/15, 0.7)</f>
        <v>156000</v>
      </c>
      <c r="L143" s="1">
        <f t="shared" si="13"/>
        <v>24000</v>
      </c>
      <c r="M143" s="1">
        <f t="shared" si="14"/>
        <v>13.33</v>
      </c>
    </row>
    <row r="144" spans="1:13" x14ac:dyDescent="0.25">
      <c r="A144" s="1">
        <v>142</v>
      </c>
      <c r="B144" s="1">
        <v>1142</v>
      </c>
      <c r="C144" s="4">
        <v>46045</v>
      </c>
      <c r="D144" s="1" t="s">
        <v>9</v>
      </c>
      <c r="E144" s="1" t="s">
        <v>15</v>
      </c>
      <c r="F144" s="1" t="str">
        <f t="shared" ca="1" si="9"/>
        <v>Delhi</v>
      </c>
      <c r="G144" s="1" t="str">
        <f t="shared" ca="1" si="10"/>
        <v>Aman</v>
      </c>
      <c r="H144" s="1">
        <v>1</v>
      </c>
      <c r="I144" s="1">
        <f t="shared" si="11"/>
        <v>3000</v>
      </c>
      <c r="J144" s="1">
        <f t="shared" si="12"/>
        <v>3000</v>
      </c>
      <c r="K144" s="1" cm="1">
        <f t="array" ref="K144">J144 * _xlfn.SWITCH(I144, 90000, 78/90, 42000, 36/42, 25000, 21/25, 15000, 12.5/15, 0.7)</f>
        <v>2100</v>
      </c>
      <c r="L144" s="1">
        <f t="shared" si="13"/>
        <v>900</v>
      </c>
      <c r="M144" s="1">
        <f t="shared" si="14"/>
        <v>30</v>
      </c>
    </row>
    <row r="145" spans="1:13" x14ac:dyDescent="0.25">
      <c r="A145" s="2">
        <v>143</v>
      </c>
      <c r="B145" s="1">
        <v>1143</v>
      </c>
      <c r="C145" s="4">
        <v>46045</v>
      </c>
      <c r="D145" s="1" t="s">
        <v>8</v>
      </c>
      <c r="E145" s="1" t="s">
        <v>15</v>
      </c>
      <c r="F145" s="1" t="str">
        <f t="shared" ca="1" si="9"/>
        <v>Hyderabad</v>
      </c>
      <c r="G145" s="1" t="str">
        <f t="shared" ca="1" si="10"/>
        <v>Simran</v>
      </c>
      <c r="H145" s="1">
        <v>2</v>
      </c>
      <c r="I145" s="1">
        <f t="shared" si="11"/>
        <v>90000</v>
      </c>
      <c r="J145" s="1">
        <f t="shared" si="12"/>
        <v>180000</v>
      </c>
      <c r="K145" s="1" cm="1">
        <f t="array" ref="K145">J145 * _xlfn.SWITCH(I145, 90000, 78/90, 42000, 36/42, 25000, 21/25, 15000, 12.5/15, 0.7)</f>
        <v>156000</v>
      </c>
      <c r="L145" s="1">
        <f t="shared" si="13"/>
        <v>24000</v>
      </c>
      <c r="M145" s="1">
        <f t="shared" si="14"/>
        <v>13.33</v>
      </c>
    </row>
    <row r="146" spans="1:13" x14ac:dyDescent="0.25">
      <c r="A146" s="1">
        <v>144</v>
      </c>
      <c r="B146" s="1">
        <v>1144</v>
      </c>
      <c r="C146" s="4">
        <v>46045</v>
      </c>
      <c r="D146" s="1" t="s">
        <v>10</v>
      </c>
      <c r="E146" s="1" t="s">
        <v>15</v>
      </c>
      <c r="F146" s="1" t="str">
        <f t="shared" ca="1" si="9"/>
        <v>Dehradun</v>
      </c>
      <c r="G146" s="1" t="str">
        <f t="shared" ca="1" si="10"/>
        <v>Simran</v>
      </c>
      <c r="H146" s="1">
        <v>2</v>
      </c>
      <c r="I146" s="1">
        <f t="shared" si="11"/>
        <v>42000</v>
      </c>
      <c r="J146" s="1">
        <f t="shared" si="12"/>
        <v>84000</v>
      </c>
      <c r="K146" s="1" cm="1">
        <f t="array" ref="K146">J146 * _xlfn.SWITCH(I146, 90000, 78/90, 42000, 36/42, 25000, 21/25, 15000, 12.5/15, 0.7)</f>
        <v>72000</v>
      </c>
      <c r="L146" s="1">
        <f t="shared" si="13"/>
        <v>12000</v>
      </c>
      <c r="M146" s="1">
        <f t="shared" si="14"/>
        <v>14.29</v>
      </c>
    </row>
    <row r="147" spans="1:13" x14ac:dyDescent="0.25">
      <c r="A147" s="2">
        <v>145</v>
      </c>
      <c r="B147" s="1">
        <v>1145</v>
      </c>
      <c r="C147" s="4">
        <v>46045</v>
      </c>
      <c r="D147" s="1" t="s">
        <v>10</v>
      </c>
      <c r="E147" s="1" t="s">
        <v>15</v>
      </c>
      <c r="F147" s="1" t="str">
        <f t="shared" ca="1" si="9"/>
        <v>Delhi</v>
      </c>
      <c r="G147" s="1" t="str">
        <f t="shared" ca="1" si="10"/>
        <v>Priya</v>
      </c>
      <c r="H147" s="1">
        <v>2</v>
      </c>
      <c r="I147" s="1">
        <f t="shared" si="11"/>
        <v>3000</v>
      </c>
      <c r="J147" s="1">
        <f t="shared" si="12"/>
        <v>6000</v>
      </c>
      <c r="K147" s="1" cm="1">
        <f t="array" ref="K147">J147 * _xlfn.SWITCH(I147, 90000, 78/90, 42000, 36/42, 25000, 21/25, 15000, 12.5/15, 0.7)</f>
        <v>4200</v>
      </c>
      <c r="L147" s="1">
        <f t="shared" si="13"/>
        <v>1800</v>
      </c>
      <c r="M147" s="1">
        <f t="shared" si="14"/>
        <v>30</v>
      </c>
    </row>
    <row r="148" spans="1:13" x14ac:dyDescent="0.25">
      <c r="A148" s="1">
        <v>146</v>
      </c>
      <c r="B148" s="1">
        <v>1146</v>
      </c>
      <c r="C148" s="4">
        <v>46046</v>
      </c>
      <c r="D148" s="1" t="s">
        <v>8</v>
      </c>
      <c r="E148" s="1" t="s">
        <v>15</v>
      </c>
      <c r="F148" s="1" t="str">
        <f t="shared" ca="1" si="9"/>
        <v>Dehradun</v>
      </c>
      <c r="G148" s="1" t="str">
        <f t="shared" ca="1" si="10"/>
        <v>Priya</v>
      </c>
      <c r="H148" s="1">
        <v>2</v>
      </c>
      <c r="I148" s="1">
        <f t="shared" si="11"/>
        <v>3000</v>
      </c>
      <c r="J148" s="1">
        <f t="shared" si="12"/>
        <v>6000</v>
      </c>
      <c r="K148" s="1" cm="1">
        <f t="array" ref="K148">J148 * _xlfn.SWITCH(I148, 90000, 78/90, 42000, 36/42, 25000, 21/25, 15000, 12.5/15, 0.7)</f>
        <v>4200</v>
      </c>
      <c r="L148" s="1">
        <f t="shared" si="13"/>
        <v>1800</v>
      </c>
      <c r="M148" s="1">
        <f t="shared" si="14"/>
        <v>30</v>
      </c>
    </row>
    <row r="149" spans="1:13" x14ac:dyDescent="0.25">
      <c r="A149" s="2">
        <v>147</v>
      </c>
      <c r="B149" s="1">
        <v>1147</v>
      </c>
      <c r="C149" s="4">
        <v>46046</v>
      </c>
      <c r="D149" s="1" t="s">
        <v>8</v>
      </c>
      <c r="E149" s="1" t="s">
        <v>15</v>
      </c>
      <c r="F149" s="1" t="str">
        <f t="shared" ca="1" si="9"/>
        <v>Banglore</v>
      </c>
      <c r="G149" s="1" t="str">
        <f t="shared" ca="1" si="10"/>
        <v>Simran</v>
      </c>
      <c r="H149" s="1">
        <v>1</v>
      </c>
      <c r="I149" s="1">
        <f t="shared" si="11"/>
        <v>42000</v>
      </c>
      <c r="J149" s="1">
        <f t="shared" si="12"/>
        <v>42000</v>
      </c>
      <c r="K149" s="1" cm="1">
        <f t="array" ref="K149">J149 * _xlfn.SWITCH(I149, 90000, 78/90, 42000, 36/42, 25000, 21/25, 15000, 12.5/15, 0.7)</f>
        <v>36000</v>
      </c>
      <c r="L149" s="1">
        <f t="shared" si="13"/>
        <v>6000</v>
      </c>
      <c r="M149" s="1">
        <f t="shared" si="14"/>
        <v>14.29</v>
      </c>
    </row>
    <row r="150" spans="1:13" x14ac:dyDescent="0.25">
      <c r="A150" s="1">
        <v>148</v>
      </c>
      <c r="B150" s="1">
        <v>1148</v>
      </c>
      <c r="C150" s="4">
        <v>46046</v>
      </c>
      <c r="D150" s="1" t="s">
        <v>8</v>
      </c>
      <c r="E150" s="1" t="s">
        <v>15</v>
      </c>
      <c r="F150" s="1" t="str">
        <f t="shared" ca="1" si="9"/>
        <v>Mumbai</v>
      </c>
      <c r="G150" s="1" t="str">
        <f t="shared" ca="1" si="10"/>
        <v>Aman</v>
      </c>
      <c r="H150" s="1">
        <v>2</v>
      </c>
      <c r="I150" s="1">
        <f t="shared" si="11"/>
        <v>42000</v>
      </c>
      <c r="J150" s="1">
        <f t="shared" si="12"/>
        <v>84000</v>
      </c>
      <c r="K150" s="1" cm="1">
        <f t="array" ref="K150">J150 * _xlfn.SWITCH(I150, 90000, 78/90, 42000, 36/42, 25000, 21/25, 15000, 12.5/15, 0.7)</f>
        <v>72000</v>
      </c>
      <c r="L150" s="1">
        <f t="shared" si="13"/>
        <v>12000</v>
      </c>
      <c r="M150" s="1">
        <f t="shared" si="14"/>
        <v>14.29</v>
      </c>
    </row>
    <row r="151" spans="1:13" x14ac:dyDescent="0.25">
      <c r="A151" s="2">
        <v>149</v>
      </c>
      <c r="B151" s="1">
        <v>1149</v>
      </c>
      <c r="C151" s="4">
        <v>46047</v>
      </c>
      <c r="D151" s="1" t="s">
        <v>10</v>
      </c>
      <c r="E151" s="1" t="s">
        <v>15</v>
      </c>
      <c r="F151" s="1" t="str">
        <f t="shared" ca="1" si="9"/>
        <v>Banglore</v>
      </c>
      <c r="G151" s="1" t="str">
        <f t="shared" ca="1" si="10"/>
        <v>Simran</v>
      </c>
      <c r="H151" s="1">
        <v>2</v>
      </c>
      <c r="I151" s="1">
        <f t="shared" si="11"/>
        <v>42000</v>
      </c>
      <c r="J151" s="1">
        <f t="shared" si="12"/>
        <v>84000</v>
      </c>
      <c r="K151" s="1" cm="1">
        <f t="array" ref="K151">J151 * _xlfn.SWITCH(I151, 90000, 78/90, 42000, 36/42, 25000, 21/25, 15000, 12.5/15, 0.7)</f>
        <v>72000</v>
      </c>
      <c r="L151" s="1">
        <f t="shared" si="13"/>
        <v>12000</v>
      </c>
      <c r="M151" s="1">
        <f t="shared" si="14"/>
        <v>14.29</v>
      </c>
    </row>
    <row r="152" spans="1:13" x14ac:dyDescent="0.25">
      <c r="A152" s="1">
        <v>150</v>
      </c>
      <c r="B152" s="1">
        <v>1150</v>
      </c>
      <c r="C152" s="4">
        <v>46047</v>
      </c>
      <c r="D152" s="1" t="s">
        <v>12</v>
      </c>
      <c r="E152" s="1" t="s">
        <v>15</v>
      </c>
      <c r="F152" s="1" t="str">
        <f t="shared" ref="F152:F202" ca="1" si="15">CHOOSE(RANDBETWEEN(1,6), "Mumbai", "Delhi", "Banglore", "Pune", "Hyderabad", "Dehradun")</f>
        <v>Dehradun</v>
      </c>
      <c r="G152" s="1" t="str">
        <f t="shared" ref="G152:G202" ca="1" si="16">CHOOSE(RANDBETWEEN(1,4), "Priya", "Aman", "Rahul", "Simran")</f>
        <v>Aman</v>
      </c>
      <c r="H152" s="1">
        <v>1</v>
      </c>
      <c r="I152" s="1">
        <f t="shared" ref="I152:I202" si="17">VLOOKUP(D151, $D$3:$I$21, 6, FALSE)</f>
        <v>3000</v>
      </c>
      <c r="J152" s="1">
        <f t="shared" si="12"/>
        <v>3000</v>
      </c>
      <c r="K152" s="1" cm="1">
        <f t="array" ref="K152">J152 * _xlfn.SWITCH(I152, 90000, 78/90, 42000, 36/42, 25000, 21/25, 15000, 12.5/15, 0.7)</f>
        <v>2100</v>
      </c>
      <c r="L152" s="1">
        <f t="shared" si="13"/>
        <v>900</v>
      </c>
      <c r="M152" s="1">
        <f t="shared" si="14"/>
        <v>30</v>
      </c>
    </row>
    <row r="153" spans="1:13" x14ac:dyDescent="0.25">
      <c r="A153" s="2">
        <v>151</v>
      </c>
      <c r="B153" s="1">
        <v>1151</v>
      </c>
      <c r="C153" s="4">
        <v>46047</v>
      </c>
      <c r="D153" s="1" t="s">
        <v>8</v>
      </c>
      <c r="E153" s="1" t="s">
        <v>15</v>
      </c>
      <c r="F153" s="1" t="str">
        <f t="shared" ca="1" si="15"/>
        <v>Pune</v>
      </c>
      <c r="G153" s="1" t="str">
        <f t="shared" ca="1" si="16"/>
        <v>Simran</v>
      </c>
      <c r="H153" s="1">
        <v>2</v>
      </c>
      <c r="I153" s="1">
        <f t="shared" si="17"/>
        <v>90000</v>
      </c>
      <c r="J153" s="1">
        <f t="shared" si="12"/>
        <v>180000</v>
      </c>
      <c r="K153" s="1" cm="1">
        <f t="array" ref="K153">J153 * _xlfn.SWITCH(I153, 90000, 78/90, 42000, 36/42, 25000, 21/25, 15000, 12.5/15, 0.7)</f>
        <v>156000</v>
      </c>
      <c r="L153" s="1">
        <f t="shared" si="13"/>
        <v>24000</v>
      </c>
      <c r="M153" s="1">
        <f t="shared" si="14"/>
        <v>13.33</v>
      </c>
    </row>
    <row r="154" spans="1:13" x14ac:dyDescent="0.25">
      <c r="A154" s="1">
        <v>152</v>
      </c>
      <c r="B154" s="1">
        <v>1152</v>
      </c>
      <c r="C154" s="4">
        <v>46047</v>
      </c>
      <c r="D154" s="1" t="s">
        <v>12</v>
      </c>
      <c r="E154" s="1" t="s">
        <v>15</v>
      </c>
      <c r="F154" s="1" t="str">
        <f t="shared" ca="1" si="15"/>
        <v>Delhi</v>
      </c>
      <c r="G154" s="1" t="str">
        <f t="shared" ca="1" si="16"/>
        <v>Priya</v>
      </c>
      <c r="H154" s="1">
        <v>3</v>
      </c>
      <c r="I154" s="1">
        <f t="shared" si="17"/>
        <v>42000</v>
      </c>
      <c r="J154" s="1">
        <f t="shared" si="12"/>
        <v>126000</v>
      </c>
      <c r="K154" s="1" cm="1">
        <f t="array" ref="K154">J154 * _xlfn.SWITCH(I154, 90000, 78/90, 42000, 36/42, 25000, 21/25, 15000, 12.5/15, 0.7)</f>
        <v>108000</v>
      </c>
      <c r="L154" s="1">
        <f t="shared" si="13"/>
        <v>18000</v>
      </c>
      <c r="M154" s="1">
        <f t="shared" si="14"/>
        <v>14.29</v>
      </c>
    </row>
    <row r="155" spans="1:13" x14ac:dyDescent="0.25">
      <c r="A155" s="2">
        <v>153</v>
      </c>
      <c r="B155" s="1">
        <v>1153</v>
      </c>
      <c r="C155" s="4">
        <v>46047</v>
      </c>
      <c r="D155" s="1" t="s">
        <v>12</v>
      </c>
      <c r="E155" s="1" t="s">
        <v>15</v>
      </c>
      <c r="F155" s="1" t="str">
        <f t="shared" ca="1" si="15"/>
        <v>Banglore</v>
      </c>
      <c r="G155" s="1" t="str">
        <f t="shared" ca="1" si="16"/>
        <v>Priya</v>
      </c>
      <c r="H155" s="1">
        <v>2</v>
      </c>
      <c r="I155" s="1">
        <f t="shared" si="17"/>
        <v>90000</v>
      </c>
      <c r="J155" s="1">
        <f t="shared" si="12"/>
        <v>180000</v>
      </c>
      <c r="K155" s="1" cm="1">
        <f t="array" ref="K155">J155 * _xlfn.SWITCH(I155, 90000, 78/90, 42000, 36/42, 25000, 21/25, 15000, 12.5/15, 0.7)</f>
        <v>156000</v>
      </c>
      <c r="L155" s="1">
        <f t="shared" si="13"/>
        <v>24000</v>
      </c>
      <c r="M155" s="1">
        <f t="shared" si="14"/>
        <v>13.33</v>
      </c>
    </row>
    <row r="156" spans="1:13" x14ac:dyDescent="0.25">
      <c r="A156" s="1">
        <v>154</v>
      </c>
      <c r="B156" s="1">
        <v>1154</v>
      </c>
      <c r="C156" s="4">
        <v>46048</v>
      </c>
      <c r="D156" s="1" t="s">
        <v>12</v>
      </c>
      <c r="E156" s="1" t="s">
        <v>15</v>
      </c>
      <c r="F156" s="1" t="str">
        <f t="shared" ca="1" si="15"/>
        <v>Hyderabad</v>
      </c>
      <c r="G156" s="1" t="str">
        <f t="shared" ca="1" si="16"/>
        <v>Aman</v>
      </c>
      <c r="H156" s="1">
        <v>2</v>
      </c>
      <c r="I156" s="1">
        <f t="shared" si="17"/>
        <v>90000</v>
      </c>
      <c r="J156" s="1">
        <f t="shared" si="12"/>
        <v>180000</v>
      </c>
      <c r="K156" s="1" cm="1">
        <f t="array" ref="K156">J156 * _xlfn.SWITCH(I156, 90000, 78/90, 42000, 36/42, 25000, 21/25, 15000, 12.5/15, 0.7)</f>
        <v>156000</v>
      </c>
      <c r="L156" s="1">
        <f t="shared" si="13"/>
        <v>24000</v>
      </c>
      <c r="M156" s="1">
        <f t="shared" si="14"/>
        <v>13.33</v>
      </c>
    </row>
    <row r="157" spans="1:13" x14ac:dyDescent="0.25">
      <c r="A157" s="2">
        <v>155</v>
      </c>
      <c r="B157" s="1">
        <v>1155</v>
      </c>
      <c r="C157" s="4">
        <v>46048</v>
      </c>
      <c r="D157" s="1" t="s">
        <v>13</v>
      </c>
      <c r="E157" s="1" t="s">
        <v>16</v>
      </c>
      <c r="F157" s="1" t="str">
        <f t="shared" ca="1" si="15"/>
        <v>Pune</v>
      </c>
      <c r="G157" s="1" t="str">
        <f t="shared" ca="1" si="16"/>
        <v>Priya</v>
      </c>
      <c r="H157" s="1">
        <v>3</v>
      </c>
      <c r="I157" s="1">
        <f t="shared" si="17"/>
        <v>90000</v>
      </c>
      <c r="J157" s="1">
        <f t="shared" si="12"/>
        <v>270000</v>
      </c>
      <c r="K157" s="1" cm="1">
        <f t="array" ref="K157">J157 * _xlfn.SWITCH(I157, 90000, 78/90, 42000, 36/42, 25000, 21/25, 15000, 12.5/15, 0.7)</f>
        <v>234000</v>
      </c>
      <c r="L157" s="1">
        <f t="shared" si="13"/>
        <v>36000</v>
      </c>
      <c r="M157" s="1">
        <f t="shared" si="14"/>
        <v>13.33</v>
      </c>
    </row>
    <row r="158" spans="1:13" x14ac:dyDescent="0.25">
      <c r="A158" s="1">
        <v>156</v>
      </c>
      <c r="B158" s="1">
        <v>1156</v>
      </c>
      <c r="C158" s="4">
        <v>46048</v>
      </c>
      <c r="D158" s="1" t="s">
        <v>13</v>
      </c>
      <c r="E158" s="1" t="s">
        <v>16</v>
      </c>
      <c r="F158" s="1" t="str">
        <f t="shared" ca="1" si="15"/>
        <v>Hyderabad</v>
      </c>
      <c r="G158" s="1" t="str">
        <f t="shared" ca="1" si="16"/>
        <v>Rahul</v>
      </c>
      <c r="H158" s="1">
        <v>3</v>
      </c>
      <c r="I158" s="1">
        <f t="shared" si="17"/>
        <v>2000</v>
      </c>
      <c r="J158" s="1">
        <f t="shared" si="12"/>
        <v>6000</v>
      </c>
      <c r="K158" s="1" cm="1">
        <f t="array" ref="K158">J158 * _xlfn.SWITCH(I158, 90000, 78/90, 42000, 36/42, 25000, 21/25, 15000, 12.5/15, 0.7)</f>
        <v>4200</v>
      </c>
      <c r="L158" s="1">
        <f t="shared" si="13"/>
        <v>1800</v>
      </c>
      <c r="M158" s="1">
        <f t="shared" si="14"/>
        <v>30</v>
      </c>
    </row>
    <row r="159" spans="1:13" x14ac:dyDescent="0.25">
      <c r="A159" s="2">
        <v>157</v>
      </c>
      <c r="B159" s="1">
        <v>1157</v>
      </c>
      <c r="C159" s="4">
        <v>46049</v>
      </c>
      <c r="D159" s="1" t="s">
        <v>9</v>
      </c>
      <c r="E159" s="1" t="s">
        <v>15</v>
      </c>
      <c r="F159" s="1" t="str">
        <f t="shared" ca="1" si="15"/>
        <v>Banglore</v>
      </c>
      <c r="G159" s="1" t="str">
        <f t="shared" ca="1" si="16"/>
        <v>Rahul</v>
      </c>
      <c r="H159" s="1">
        <v>3</v>
      </c>
      <c r="I159" s="1">
        <f t="shared" si="17"/>
        <v>2000</v>
      </c>
      <c r="J159" s="1">
        <f t="shared" si="12"/>
        <v>6000</v>
      </c>
      <c r="K159" s="1" cm="1">
        <f t="array" ref="K159">J159 * _xlfn.SWITCH(I159, 90000, 78/90, 42000, 36/42, 25000, 21/25, 15000, 12.5/15, 0.7)</f>
        <v>4200</v>
      </c>
      <c r="L159" s="1">
        <f t="shared" si="13"/>
        <v>1800</v>
      </c>
      <c r="M159" s="1">
        <f t="shared" si="14"/>
        <v>30</v>
      </c>
    </row>
    <row r="160" spans="1:13" x14ac:dyDescent="0.25">
      <c r="A160" s="1">
        <v>158</v>
      </c>
      <c r="B160" s="1">
        <v>1158</v>
      </c>
      <c r="C160" s="4">
        <v>46049</v>
      </c>
      <c r="D160" s="1" t="s">
        <v>14</v>
      </c>
      <c r="E160" s="1" t="s">
        <v>16</v>
      </c>
      <c r="F160" s="1" t="str">
        <f t="shared" ca="1" si="15"/>
        <v>Hyderabad</v>
      </c>
      <c r="G160" s="1" t="str">
        <f t="shared" ca="1" si="16"/>
        <v>Priya</v>
      </c>
      <c r="H160" s="1">
        <v>1</v>
      </c>
      <c r="I160" s="1">
        <f t="shared" si="17"/>
        <v>90000</v>
      </c>
      <c r="J160" s="1">
        <f t="shared" si="12"/>
        <v>90000</v>
      </c>
      <c r="K160" s="1" cm="1">
        <f t="array" ref="K160">J160 * _xlfn.SWITCH(I160, 90000, 78/90, 42000, 36/42, 25000, 21/25, 15000, 12.5/15, 0.7)</f>
        <v>78000</v>
      </c>
      <c r="L160" s="1">
        <f t="shared" si="13"/>
        <v>12000</v>
      </c>
      <c r="M160" s="1">
        <f t="shared" si="14"/>
        <v>13.33</v>
      </c>
    </row>
    <row r="161" spans="1:13" x14ac:dyDescent="0.25">
      <c r="A161" s="2">
        <v>159</v>
      </c>
      <c r="B161" s="1">
        <v>1159</v>
      </c>
      <c r="C161" s="4">
        <v>46049</v>
      </c>
      <c r="D161" s="1" t="s">
        <v>12</v>
      </c>
      <c r="E161" s="1" t="s">
        <v>15</v>
      </c>
      <c r="F161" s="1" t="str">
        <f t="shared" ca="1" si="15"/>
        <v>Banglore</v>
      </c>
      <c r="G161" s="1" t="str">
        <f t="shared" ca="1" si="16"/>
        <v>Rahul</v>
      </c>
      <c r="H161" s="1">
        <v>1</v>
      </c>
      <c r="I161" s="1">
        <f t="shared" si="17"/>
        <v>3000</v>
      </c>
      <c r="J161" s="1">
        <f t="shared" si="12"/>
        <v>3000</v>
      </c>
      <c r="K161" s="1" cm="1">
        <f t="array" ref="K161">J161 * _xlfn.SWITCH(I161, 90000, 78/90, 42000, 36/42, 25000, 21/25, 15000, 12.5/15, 0.7)</f>
        <v>2100</v>
      </c>
      <c r="L161" s="1">
        <f t="shared" si="13"/>
        <v>900</v>
      </c>
      <c r="M161" s="1">
        <f t="shared" si="14"/>
        <v>30</v>
      </c>
    </row>
    <row r="162" spans="1:13" x14ac:dyDescent="0.25">
      <c r="A162" s="1">
        <v>160</v>
      </c>
      <c r="B162" s="1">
        <v>1160</v>
      </c>
      <c r="C162" s="4">
        <v>46049</v>
      </c>
      <c r="D162" s="1" t="s">
        <v>12</v>
      </c>
      <c r="E162" s="1" t="s">
        <v>15</v>
      </c>
      <c r="F162" s="1" t="str">
        <f t="shared" ca="1" si="15"/>
        <v>Dehradun</v>
      </c>
      <c r="G162" s="1" t="str">
        <f t="shared" ca="1" si="16"/>
        <v>Rahul</v>
      </c>
      <c r="H162" s="1">
        <v>3</v>
      </c>
      <c r="I162" s="1">
        <f t="shared" si="17"/>
        <v>90000</v>
      </c>
      <c r="J162" s="1">
        <f t="shared" si="12"/>
        <v>270000</v>
      </c>
      <c r="K162" s="1" cm="1">
        <f t="array" ref="K162">J162 * _xlfn.SWITCH(I162, 90000, 78/90, 42000, 36/42, 25000, 21/25, 15000, 12.5/15, 0.7)</f>
        <v>234000</v>
      </c>
      <c r="L162" s="1">
        <f t="shared" si="13"/>
        <v>36000</v>
      </c>
      <c r="M162" s="1">
        <f t="shared" si="14"/>
        <v>13.33</v>
      </c>
    </row>
    <row r="163" spans="1:13" x14ac:dyDescent="0.25">
      <c r="A163" s="2">
        <v>161</v>
      </c>
      <c r="B163" s="1">
        <v>1161</v>
      </c>
      <c r="C163" s="4">
        <v>46050</v>
      </c>
      <c r="D163" s="1" t="s">
        <v>8</v>
      </c>
      <c r="E163" s="1" t="s">
        <v>15</v>
      </c>
      <c r="F163" s="1" t="str">
        <f t="shared" ca="1" si="15"/>
        <v>Mumbai</v>
      </c>
      <c r="G163" s="1" t="str">
        <f t="shared" ca="1" si="16"/>
        <v>Aman</v>
      </c>
      <c r="H163" s="1">
        <v>1</v>
      </c>
      <c r="I163" s="1">
        <f t="shared" si="17"/>
        <v>90000</v>
      </c>
      <c r="J163" s="1">
        <f t="shared" si="12"/>
        <v>90000</v>
      </c>
      <c r="K163" s="1" cm="1">
        <f t="array" ref="K163">J163 * _xlfn.SWITCH(I163, 90000, 78/90, 42000, 36/42, 25000, 21/25, 15000, 12.5/15, 0.7)</f>
        <v>78000</v>
      </c>
      <c r="L163" s="1">
        <f t="shared" si="13"/>
        <v>12000</v>
      </c>
      <c r="M163" s="1">
        <f t="shared" si="14"/>
        <v>13.33</v>
      </c>
    </row>
    <row r="164" spans="1:13" x14ac:dyDescent="0.25">
      <c r="A164" s="1">
        <v>162</v>
      </c>
      <c r="B164" s="1">
        <v>1162</v>
      </c>
      <c r="C164" s="4">
        <v>46050</v>
      </c>
      <c r="D164" s="1" t="s">
        <v>9</v>
      </c>
      <c r="E164" s="1" t="s">
        <v>15</v>
      </c>
      <c r="F164" s="1" t="str">
        <f t="shared" ca="1" si="15"/>
        <v>Pune</v>
      </c>
      <c r="G164" s="1" t="str">
        <f t="shared" ca="1" si="16"/>
        <v>Simran</v>
      </c>
      <c r="H164" s="1">
        <v>1</v>
      </c>
      <c r="I164" s="1">
        <f t="shared" si="17"/>
        <v>42000</v>
      </c>
      <c r="J164" s="1">
        <f t="shared" si="12"/>
        <v>42000</v>
      </c>
      <c r="K164" s="1" cm="1">
        <f t="array" ref="K164">J164 * _xlfn.SWITCH(I164, 90000, 78/90, 42000, 36/42, 25000, 21/25, 15000, 12.5/15, 0.7)</f>
        <v>36000</v>
      </c>
      <c r="L164" s="1">
        <f t="shared" si="13"/>
        <v>6000</v>
      </c>
      <c r="M164" s="1">
        <f t="shared" si="14"/>
        <v>14.29</v>
      </c>
    </row>
    <row r="165" spans="1:13" x14ac:dyDescent="0.25">
      <c r="A165" s="2">
        <v>163</v>
      </c>
      <c r="B165" s="1">
        <v>1163</v>
      </c>
      <c r="C165" s="4">
        <v>46051</v>
      </c>
      <c r="D165" s="1" t="s">
        <v>10</v>
      </c>
      <c r="E165" s="1" t="s">
        <v>15</v>
      </c>
      <c r="F165" s="1" t="str">
        <f t="shared" ca="1" si="15"/>
        <v>Banglore</v>
      </c>
      <c r="G165" s="1" t="str">
        <f t="shared" ca="1" si="16"/>
        <v>Rahul</v>
      </c>
      <c r="H165" s="1">
        <v>3</v>
      </c>
      <c r="I165" s="1">
        <f t="shared" si="17"/>
        <v>90000</v>
      </c>
      <c r="J165" s="1">
        <f t="shared" si="12"/>
        <v>270000</v>
      </c>
      <c r="K165" s="1" cm="1">
        <f t="array" ref="K165">J165 * _xlfn.SWITCH(I165, 90000, 78/90, 42000, 36/42, 25000, 21/25, 15000, 12.5/15, 0.7)</f>
        <v>234000</v>
      </c>
      <c r="L165" s="1">
        <f t="shared" si="13"/>
        <v>36000</v>
      </c>
      <c r="M165" s="1">
        <f t="shared" si="14"/>
        <v>13.33</v>
      </c>
    </row>
    <row r="166" spans="1:13" x14ac:dyDescent="0.25">
      <c r="A166" s="1">
        <v>164</v>
      </c>
      <c r="B166" s="1">
        <v>1164</v>
      </c>
      <c r="C166" s="4">
        <v>46051</v>
      </c>
      <c r="D166" s="1" t="s">
        <v>9</v>
      </c>
      <c r="E166" s="1" t="s">
        <v>15</v>
      </c>
      <c r="F166" s="1" t="str">
        <f t="shared" ca="1" si="15"/>
        <v>Banglore</v>
      </c>
      <c r="G166" s="1" t="str">
        <f t="shared" ca="1" si="16"/>
        <v>Simran</v>
      </c>
      <c r="H166" s="1">
        <v>2</v>
      </c>
      <c r="I166" s="1">
        <f t="shared" si="17"/>
        <v>3000</v>
      </c>
      <c r="J166" s="1">
        <f t="shared" si="12"/>
        <v>6000</v>
      </c>
      <c r="K166" s="1" cm="1">
        <f t="array" ref="K166">J166 * _xlfn.SWITCH(I166, 90000, 78/90, 42000, 36/42, 25000, 21/25, 15000, 12.5/15, 0.7)</f>
        <v>4200</v>
      </c>
      <c r="L166" s="1">
        <f t="shared" si="13"/>
        <v>1800</v>
      </c>
      <c r="M166" s="1">
        <f t="shared" si="14"/>
        <v>30</v>
      </c>
    </row>
    <row r="167" spans="1:13" x14ac:dyDescent="0.25">
      <c r="A167" s="2">
        <v>165</v>
      </c>
      <c r="B167" s="1">
        <v>1165</v>
      </c>
      <c r="C167" s="4">
        <v>46052</v>
      </c>
      <c r="D167" s="1" t="s">
        <v>12</v>
      </c>
      <c r="E167" s="1" t="s">
        <v>15</v>
      </c>
      <c r="F167" s="1" t="str">
        <f t="shared" ca="1" si="15"/>
        <v>Hyderabad</v>
      </c>
      <c r="G167" s="1" t="str">
        <f t="shared" ca="1" si="16"/>
        <v>Aman</v>
      </c>
      <c r="H167" s="1">
        <v>3</v>
      </c>
      <c r="I167" s="1">
        <f t="shared" si="17"/>
        <v>90000</v>
      </c>
      <c r="J167" s="1">
        <f t="shared" si="12"/>
        <v>270000</v>
      </c>
      <c r="K167" s="1" cm="1">
        <f t="array" ref="K167">J167 * _xlfn.SWITCH(I167, 90000, 78/90, 42000, 36/42, 25000, 21/25, 15000, 12.5/15, 0.7)</f>
        <v>234000</v>
      </c>
      <c r="L167" s="1">
        <f t="shared" si="13"/>
        <v>36000</v>
      </c>
      <c r="M167" s="1">
        <f t="shared" si="14"/>
        <v>13.33</v>
      </c>
    </row>
    <row r="168" spans="1:13" x14ac:dyDescent="0.25">
      <c r="A168" s="1">
        <v>166</v>
      </c>
      <c r="B168" s="1">
        <v>1166</v>
      </c>
      <c r="C168" s="4">
        <v>46052</v>
      </c>
      <c r="D168" s="1" t="s">
        <v>14</v>
      </c>
      <c r="E168" s="1" t="s">
        <v>16</v>
      </c>
      <c r="F168" s="1" t="str">
        <f t="shared" ca="1" si="15"/>
        <v>Delhi</v>
      </c>
      <c r="G168" s="1" t="str">
        <f t="shared" ca="1" si="16"/>
        <v>Aman</v>
      </c>
      <c r="H168" s="1">
        <v>1</v>
      </c>
      <c r="I168" s="1">
        <f t="shared" si="17"/>
        <v>90000</v>
      </c>
      <c r="J168" s="1">
        <f t="shared" si="12"/>
        <v>90000</v>
      </c>
      <c r="K168" s="1" cm="1">
        <f t="array" ref="K168">J168 * _xlfn.SWITCH(I168, 90000, 78/90, 42000, 36/42, 25000, 21/25, 15000, 12.5/15, 0.7)</f>
        <v>78000</v>
      </c>
      <c r="L168" s="1">
        <f t="shared" si="13"/>
        <v>12000</v>
      </c>
      <c r="M168" s="1">
        <f t="shared" si="14"/>
        <v>13.33</v>
      </c>
    </row>
    <row r="169" spans="1:13" x14ac:dyDescent="0.25">
      <c r="A169" s="2">
        <v>167</v>
      </c>
      <c r="B169" s="1">
        <v>1167</v>
      </c>
      <c r="C169" s="4">
        <v>46052</v>
      </c>
      <c r="D169" s="1" t="s">
        <v>8</v>
      </c>
      <c r="E169" s="1" t="s">
        <v>15</v>
      </c>
      <c r="F169" s="1" t="str">
        <f t="shared" ca="1" si="15"/>
        <v>Delhi</v>
      </c>
      <c r="G169" s="1" t="str">
        <f t="shared" ca="1" si="16"/>
        <v>Simran</v>
      </c>
      <c r="H169" s="1">
        <v>2</v>
      </c>
      <c r="I169" s="1">
        <f t="shared" si="17"/>
        <v>3000</v>
      </c>
      <c r="J169" s="1">
        <f t="shared" si="12"/>
        <v>6000</v>
      </c>
      <c r="K169" s="1" cm="1">
        <f t="array" ref="K169">J169 * _xlfn.SWITCH(I169, 90000, 78/90, 42000, 36/42, 25000, 21/25, 15000, 12.5/15, 0.7)</f>
        <v>4200</v>
      </c>
      <c r="L169" s="1">
        <f t="shared" si="13"/>
        <v>1800</v>
      </c>
      <c r="M169" s="1">
        <f t="shared" si="14"/>
        <v>30</v>
      </c>
    </row>
    <row r="170" spans="1:13" x14ac:dyDescent="0.25">
      <c r="A170" s="1">
        <v>168</v>
      </c>
      <c r="B170" s="1">
        <v>1168</v>
      </c>
      <c r="C170" s="4">
        <v>46053</v>
      </c>
      <c r="D170" s="1" t="s">
        <v>8</v>
      </c>
      <c r="E170" s="1" t="s">
        <v>15</v>
      </c>
      <c r="F170" s="1" t="str">
        <f t="shared" ca="1" si="15"/>
        <v>Delhi</v>
      </c>
      <c r="G170" s="1" t="str">
        <f t="shared" ca="1" si="16"/>
        <v>Rahul</v>
      </c>
      <c r="H170" s="1">
        <v>3</v>
      </c>
      <c r="I170" s="1">
        <f t="shared" si="17"/>
        <v>42000</v>
      </c>
      <c r="J170" s="1">
        <f t="shared" si="12"/>
        <v>126000</v>
      </c>
      <c r="K170" s="1" cm="1">
        <f t="array" ref="K170">J170 * _xlfn.SWITCH(I170, 90000, 78/90, 42000, 36/42, 25000, 21/25, 15000, 12.5/15, 0.7)</f>
        <v>108000</v>
      </c>
      <c r="L170" s="1">
        <f t="shared" si="13"/>
        <v>18000</v>
      </c>
      <c r="M170" s="1">
        <f t="shared" si="14"/>
        <v>14.29</v>
      </c>
    </row>
    <row r="171" spans="1:13" x14ac:dyDescent="0.25">
      <c r="A171" s="2">
        <v>169</v>
      </c>
      <c r="B171" s="1">
        <v>1169</v>
      </c>
      <c r="C171" s="4">
        <v>46053</v>
      </c>
      <c r="D171" s="1" t="s">
        <v>12</v>
      </c>
      <c r="E171" s="1" t="s">
        <v>15</v>
      </c>
      <c r="F171" s="1" t="str">
        <f t="shared" ca="1" si="15"/>
        <v>Hyderabad</v>
      </c>
      <c r="G171" s="1" t="str">
        <f t="shared" ca="1" si="16"/>
        <v>Simran</v>
      </c>
      <c r="H171" s="1">
        <v>3</v>
      </c>
      <c r="I171" s="1">
        <f t="shared" si="17"/>
        <v>42000</v>
      </c>
      <c r="J171" s="1">
        <f t="shared" si="12"/>
        <v>126000</v>
      </c>
      <c r="K171" s="1" cm="1">
        <f t="array" ref="K171">J171 * _xlfn.SWITCH(I171, 90000, 78/90, 42000, 36/42, 25000, 21/25, 15000, 12.5/15, 0.7)</f>
        <v>108000</v>
      </c>
      <c r="L171" s="1">
        <f t="shared" si="13"/>
        <v>18000</v>
      </c>
      <c r="M171" s="1">
        <f t="shared" si="14"/>
        <v>14.29</v>
      </c>
    </row>
    <row r="172" spans="1:13" x14ac:dyDescent="0.25">
      <c r="A172" s="1">
        <v>170</v>
      </c>
      <c r="B172" s="1">
        <v>1170</v>
      </c>
      <c r="C172" s="4">
        <v>46054</v>
      </c>
      <c r="D172" s="1" t="s">
        <v>11</v>
      </c>
      <c r="E172" s="1" t="s">
        <v>15</v>
      </c>
      <c r="F172" s="1" t="str">
        <f t="shared" ca="1" si="15"/>
        <v>Mumbai</v>
      </c>
      <c r="G172" s="1" t="str">
        <f t="shared" ca="1" si="16"/>
        <v>Rahul</v>
      </c>
      <c r="H172" s="1">
        <v>3</v>
      </c>
      <c r="I172" s="1">
        <f t="shared" si="17"/>
        <v>90000</v>
      </c>
      <c r="J172" s="1">
        <f t="shared" si="12"/>
        <v>270000</v>
      </c>
      <c r="K172" s="1" cm="1">
        <f t="array" ref="K172">J172 * _xlfn.SWITCH(I172, 90000, 78/90, 42000, 36/42, 25000, 21/25, 15000, 12.5/15, 0.7)</f>
        <v>234000</v>
      </c>
      <c r="L172" s="1">
        <f t="shared" si="13"/>
        <v>36000</v>
      </c>
      <c r="M172" s="1">
        <f t="shared" si="14"/>
        <v>13.33</v>
      </c>
    </row>
    <row r="173" spans="1:13" x14ac:dyDescent="0.25">
      <c r="A173" s="2">
        <v>171</v>
      </c>
      <c r="B173" s="1">
        <v>1171</v>
      </c>
      <c r="C173" s="4">
        <v>46054</v>
      </c>
      <c r="D173" s="1" t="s">
        <v>8</v>
      </c>
      <c r="E173" s="1" t="s">
        <v>15</v>
      </c>
      <c r="F173" s="1" t="str">
        <f t="shared" ca="1" si="15"/>
        <v>Hyderabad</v>
      </c>
      <c r="G173" s="1" t="str">
        <f t="shared" ca="1" si="16"/>
        <v>Priya</v>
      </c>
      <c r="H173" s="1">
        <v>3</v>
      </c>
      <c r="I173" s="1">
        <f t="shared" si="17"/>
        <v>15000</v>
      </c>
      <c r="J173" s="1">
        <f t="shared" si="12"/>
        <v>45000</v>
      </c>
      <c r="K173" s="1" cm="1">
        <f t="array" ref="K173">J173 * _xlfn.SWITCH(I173, 90000, 78/90, 42000, 36/42, 25000, 21/25, 15000, 12.5/15, 0.7)</f>
        <v>37500</v>
      </c>
      <c r="L173" s="1">
        <f t="shared" si="13"/>
        <v>7500</v>
      </c>
      <c r="M173" s="1">
        <f t="shared" si="14"/>
        <v>16.670000000000002</v>
      </c>
    </row>
    <row r="174" spans="1:13" x14ac:dyDescent="0.25">
      <c r="A174" s="1">
        <v>172</v>
      </c>
      <c r="B174" s="1">
        <v>1172</v>
      </c>
      <c r="C174" s="4">
        <v>46054</v>
      </c>
      <c r="D174" s="1" t="s">
        <v>14</v>
      </c>
      <c r="E174" s="1" t="s">
        <v>16</v>
      </c>
      <c r="F174" s="1" t="str">
        <f t="shared" ca="1" si="15"/>
        <v>Dehradun</v>
      </c>
      <c r="G174" s="1" t="str">
        <f t="shared" ca="1" si="16"/>
        <v>Aman</v>
      </c>
      <c r="H174" s="1">
        <v>2</v>
      </c>
      <c r="I174" s="1">
        <f t="shared" si="17"/>
        <v>42000</v>
      </c>
      <c r="J174" s="1">
        <f t="shared" si="12"/>
        <v>84000</v>
      </c>
      <c r="K174" s="1" cm="1">
        <f t="array" ref="K174">J174 * _xlfn.SWITCH(I174, 90000, 78/90, 42000, 36/42, 25000, 21/25, 15000, 12.5/15, 0.7)</f>
        <v>72000</v>
      </c>
      <c r="L174" s="1">
        <f t="shared" si="13"/>
        <v>12000</v>
      </c>
      <c r="M174" s="1">
        <f t="shared" si="14"/>
        <v>14.29</v>
      </c>
    </row>
    <row r="175" spans="1:13" x14ac:dyDescent="0.25">
      <c r="A175" s="2">
        <v>173</v>
      </c>
      <c r="B175" s="1">
        <v>1173</v>
      </c>
      <c r="C175" s="4">
        <v>46054</v>
      </c>
      <c r="D175" s="1" t="s">
        <v>12</v>
      </c>
      <c r="E175" s="1" t="s">
        <v>15</v>
      </c>
      <c r="F175" s="1" t="str">
        <f t="shared" ca="1" si="15"/>
        <v>Pune</v>
      </c>
      <c r="G175" s="1" t="str">
        <f t="shared" ca="1" si="16"/>
        <v>Simran</v>
      </c>
      <c r="H175" s="1">
        <v>3</v>
      </c>
      <c r="I175" s="1">
        <f t="shared" si="17"/>
        <v>3000</v>
      </c>
      <c r="J175" s="1">
        <f t="shared" si="12"/>
        <v>9000</v>
      </c>
      <c r="K175" s="1" cm="1">
        <f t="array" ref="K175">J175 * _xlfn.SWITCH(I175, 90000, 78/90, 42000, 36/42, 25000, 21/25, 15000, 12.5/15, 0.7)</f>
        <v>6300</v>
      </c>
      <c r="L175" s="1">
        <f t="shared" si="13"/>
        <v>2700</v>
      </c>
      <c r="M175" s="1">
        <f t="shared" si="14"/>
        <v>30</v>
      </c>
    </row>
    <row r="176" spans="1:13" x14ac:dyDescent="0.25">
      <c r="A176" s="1">
        <v>174</v>
      </c>
      <c r="B176" s="1">
        <v>1174</v>
      </c>
      <c r="C176" s="4">
        <v>46055</v>
      </c>
      <c r="D176" s="1" t="s">
        <v>10</v>
      </c>
      <c r="E176" s="1" t="s">
        <v>15</v>
      </c>
      <c r="F176" s="1" t="str">
        <f t="shared" ca="1" si="15"/>
        <v>Banglore</v>
      </c>
      <c r="G176" s="1" t="str">
        <f t="shared" ca="1" si="16"/>
        <v>Rahul</v>
      </c>
      <c r="H176" s="1">
        <v>3</v>
      </c>
      <c r="I176" s="1">
        <f t="shared" si="17"/>
        <v>90000</v>
      </c>
      <c r="J176" s="1">
        <f t="shared" si="12"/>
        <v>270000</v>
      </c>
      <c r="K176" s="1" cm="1">
        <f t="array" ref="K176">J176 * _xlfn.SWITCH(I176, 90000, 78/90, 42000, 36/42, 25000, 21/25, 15000, 12.5/15, 0.7)</f>
        <v>234000</v>
      </c>
      <c r="L176" s="1">
        <f t="shared" si="13"/>
        <v>36000</v>
      </c>
      <c r="M176" s="1">
        <f t="shared" si="14"/>
        <v>13.33</v>
      </c>
    </row>
    <row r="177" spans="1:13" x14ac:dyDescent="0.25">
      <c r="A177" s="2">
        <v>175</v>
      </c>
      <c r="B177" s="1">
        <v>1175</v>
      </c>
      <c r="C177" s="4">
        <v>46057</v>
      </c>
      <c r="D177" s="1" t="s">
        <v>11</v>
      </c>
      <c r="E177" s="1" t="s">
        <v>15</v>
      </c>
      <c r="F177" s="1" t="str">
        <f t="shared" ca="1" si="15"/>
        <v>Pune</v>
      </c>
      <c r="G177" s="1" t="str">
        <f t="shared" ca="1" si="16"/>
        <v>Simran</v>
      </c>
      <c r="H177" s="1">
        <v>2</v>
      </c>
      <c r="I177" s="1">
        <f t="shared" si="17"/>
        <v>3000</v>
      </c>
      <c r="J177" s="1">
        <f t="shared" si="12"/>
        <v>6000</v>
      </c>
      <c r="K177" s="1" cm="1">
        <f t="array" ref="K177">J177 * _xlfn.SWITCH(I177, 90000, 78/90, 42000, 36/42, 25000, 21/25, 15000, 12.5/15, 0.7)</f>
        <v>4200</v>
      </c>
      <c r="L177" s="1">
        <f t="shared" si="13"/>
        <v>1800</v>
      </c>
      <c r="M177" s="1">
        <f t="shared" si="14"/>
        <v>30</v>
      </c>
    </row>
    <row r="178" spans="1:13" x14ac:dyDescent="0.25">
      <c r="A178" s="1">
        <v>176</v>
      </c>
      <c r="B178" s="1">
        <v>1176</v>
      </c>
      <c r="C178" s="4">
        <v>46057</v>
      </c>
      <c r="D178" s="1" t="s">
        <v>11</v>
      </c>
      <c r="E178" s="1" t="s">
        <v>15</v>
      </c>
      <c r="F178" s="1" t="str">
        <f t="shared" ca="1" si="15"/>
        <v>Mumbai</v>
      </c>
      <c r="G178" s="1" t="str">
        <f t="shared" ca="1" si="16"/>
        <v>Aman</v>
      </c>
      <c r="H178" s="1">
        <v>3</v>
      </c>
      <c r="I178" s="1">
        <f t="shared" si="17"/>
        <v>15000</v>
      </c>
      <c r="J178" s="1">
        <f t="shared" si="12"/>
        <v>45000</v>
      </c>
      <c r="K178" s="1" cm="1">
        <f t="array" ref="K178">J178 * _xlfn.SWITCH(I178, 90000, 78/90, 42000, 36/42, 25000, 21/25, 15000, 12.5/15, 0.7)</f>
        <v>37500</v>
      </c>
      <c r="L178" s="1">
        <f t="shared" si="13"/>
        <v>7500</v>
      </c>
      <c r="M178" s="1">
        <f t="shared" si="14"/>
        <v>16.670000000000002</v>
      </c>
    </row>
    <row r="179" spans="1:13" x14ac:dyDescent="0.25">
      <c r="A179" s="2">
        <v>177</v>
      </c>
      <c r="B179" s="1">
        <v>1177</v>
      </c>
      <c r="C179" s="4">
        <v>46057</v>
      </c>
      <c r="D179" s="1" t="s">
        <v>11</v>
      </c>
      <c r="E179" s="1" t="s">
        <v>15</v>
      </c>
      <c r="F179" s="1" t="str">
        <f t="shared" ca="1" si="15"/>
        <v>Pune</v>
      </c>
      <c r="G179" s="1" t="str">
        <f t="shared" ca="1" si="16"/>
        <v>Simran</v>
      </c>
      <c r="H179" s="1">
        <v>1</v>
      </c>
      <c r="I179" s="1">
        <f t="shared" si="17"/>
        <v>15000</v>
      </c>
      <c r="J179" s="1">
        <f t="shared" si="12"/>
        <v>15000</v>
      </c>
      <c r="K179" s="1" cm="1">
        <f t="array" ref="K179">J179 * _xlfn.SWITCH(I179, 90000, 78/90, 42000, 36/42, 25000, 21/25, 15000, 12.5/15, 0.7)</f>
        <v>12500</v>
      </c>
      <c r="L179" s="1">
        <f t="shared" si="13"/>
        <v>2500</v>
      </c>
      <c r="M179" s="1">
        <f t="shared" si="14"/>
        <v>16.670000000000002</v>
      </c>
    </row>
    <row r="180" spans="1:13" x14ac:dyDescent="0.25">
      <c r="A180" s="1">
        <v>178</v>
      </c>
      <c r="B180" s="1">
        <v>1178</v>
      </c>
      <c r="C180" s="4">
        <v>46059</v>
      </c>
      <c r="D180" s="1" t="s">
        <v>9</v>
      </c>
      <c r="E180" s="1" t="s">
        <v>15</v>
      </c>
      <c r="F180" s="1" t="str">
        <f t="shared" ca="1" si="15"/>
        <v>Mumbai</v>
      </c>
      <c r="G180" s="1" t="str">
        <f t="shared" ca="1" si="16"/>
        <v>Aman</v>
      </c>
      <c r="H180" s="1">
        <v>3</v>
      </c>
      <c r="I180" s="1">
        <f t="shared" si="17"/>
        <v>15000</v>
      </c>
      <c r="J180" s="1">
        <f t="shared" si="12"/>
        <v>45000</v>
      </c>
      <c r="K180" s="1" cm="1">
        <f t="array" ref="K180">J180 * _xlfn.SWITCH(I180, 90000, 78/90, 42000, 36/42, 25000, 21/25, 15000, 12.5/15, 0.7)</f>
        <v>37500</v>
      </c>
      <c r="L180" s="1">
        <f t="shared" si="13"/>
        <v>7500</v>
      </c>
      <c r="M180" s="1">
        <f t="shared" si="14"/>
        <v>16.670000000000002</v>
      </c>
    </row>
    <row r="181" spans="1:13" x14ac:dyDescent="0.25">
      <c r="A181" s="2">
        <v>179</v>
      </c>
      <c r="B181" s="1">
        <v>1179</v>
      </c>
      <c r="C181" s="4">
        <v>46059</v>
      </c>
      <c r="D181" s="1" t="s">
        <v>11</v>
      </c>
      <c r="E181" s="1" t="s">
        <v>15</v>
      </c>
      <c r="F181" s="1" t="str">
        <f t="shared" ca="1" si="15"/>
        <v>Delhi</v>
      </c>
      <c r="G181" s="1" t="str">
        <f t="shared" ca="1" si="16"/>
        <v>Priya</v>
      </c>
      <c r="H181" s="1">
        <v>2</v>
      </c>
      <c r="I181" s="1">
        <f t="shared" si="17"/>
        <v>90000</v>
      </c>
      <c r="J181" s="1">
        <f t="shared" si="12"/>
        <v>180000</v>
      </c>
      <c r="K181" s="1" cm="1">
        <f t="array" ref="K181">J181 * _xlfn.SWITCH(I181, 90000, 78/90, 42000, 36/42, 25000, 21/25, 15000, 12.5/15, 0.7)</f>
        <v>156000</v>
      </c>
      <c r="L181" s="1">
        <f t="shared" si="13"/>
        <v>24000</v>
      </c>
      <c r="M181" s="1">
        <f t="shared" si="14"/>
        <v>13.33</v>
      </c>
    </row>
    <row r="182" spans="1:13" x14ac:dyDescent="0.25">
      <c r="A182" s="1">
        <v>180</v>
      </c>
      <c r="B182" s="1">
        <v>1180</v>
      </c>
      <c r="C182" s="4">
        <v>46059</v>
      </c>
      <c r="D182" s="1" t="s">
        <v>12</v>
      </c>
      <c r="E182" s="1" t="s">
        <v>15</v>
      </c>
      <c r="F182" s="1" t="str">
        <f t="shared" ca="1" si="15"/>
        <v>Mumbai</v>
      </c>
      <c r="G182" s="1" t="str">
        <f t="shared" ca="1" si="16"/>
        <v>Simran</v>
      </c>
      <c r="H182" s="1">
        <v>1</v>
      </c>
      <c r="I182" s="1">
        <f t="shared" si="17"/>
        <v>15000</v>
      </c>
      <c r="J182" s="1">
        <f t="shared" si="12"/>
        <v>15000</v>
      </c>
      <c r="K182" s="1" cm="1">
        <f t="array" ref="K182">J182 * _xlfn.SWITCH(I182, 90000, 78/90, 42000, 36/42, 25000, 21/25, 15000, 12.5/15, 0.7)</f>
        <v>12500</v>
      </c>
      <c r="L182" s="1">
        <f t="shared" si="13"/>
        <v>2500</v>
      </c>
      <c r="M182" s="1">
        <f t="shared" si="14"/>
        <v>16.670000000000002</v>
      </c>
    </row>
    <row r="183" spans="1:13" x14ac:dyDescent="0.25">
      <c r="A183" s="2">
        <v>181</v>
      </c>
      <c r="B183" s="1">
        <v>1181</v>
      </c>
      <c r="C183" s="4">
        <v>46060</v>
      </c>
      <c r="D183" s="1" t="s">
        <v>10</v>
      </c>
      <c r="E183" s="1" t="s">
        <v>15</v>
      </c>
      <c r="F183" s="1" t="str">
        <f t="shared" ca="1" si="15"/>
        <v>Dehradun</v>
      </c>
      <c r="G183" s="1" t="str">
        <f t="shared" ca="1" si="16"/>
        <v>Aman</v>
      </c>
      <c r="H183" s="1">
        <v>1</v>
      </c>
      <c r="I183" s="1">
        <f t="shared" si="17"/>
        <v>90000</v>
      </c>
      <c r="J183" s="1">
        <f t="shared" si="12"/>
        <v>90000</v>
      </c>
      <c r="K183" s="1" cm="1">
        <f t="array" ref="K183">J183 * _xlfn.SWITCH(I183, 90000, 78/90, 42000, 36/42, 25000, 21/25, 15000, 12.5/15, 0.7)</f>
        <v>78000</v>
      </c>
      <c r="L183" s="1">
        <f t="shared" si="13"/>
        <v>12000</v>
      </c>
      <c r="M183" s="1">
        <f t="shared" si="14"/>
        <v>13.33</v>
      </c>
    </row>
    <row r="184" spans="1:13" x14ac:dyDescent="0.25">
      <c r="A184" s="1">
        <v>182</v>
      </c>
      <c r="B184" s="1">
        <v>1182</v>
      </c>
      <c r="C184" s="4">
        <v>46060</v>
      </c>
      <c r="D184" s="1" t="s">
        <v>8</v>
      </c>
      <c r="E184" s="1" t="s">
        <v>15</v>
      </c>
      <c r="F184" s="1" t="str">
        <f t="shared" ca="1" si="15"/>
        <v>Banglore</v>
      </c>
      <c r="G184" s="1" t="str">
        <f t="shared" ca="1" si="16"/>
        <v>Priya</v>
      </c>
      <c r="H184" s="1">
        <v>2</v>
      </c>
      <c r="I184" s="1">
        <f t="shared" si="17"/>
        <v>3000</v>
      </c>
      <c r="J184" s="1">
        <f t="shared" si="12"/>
        <v>6000</v>
      </c>
      <c r="K184" s="1" cm="1">
        <f t="array" ref="K184">J184 * _xlfn.SWITCH(I184, 90000, 78/90, 42000, 36/42, 25000, 21/25, 15000, 12.5/15, 0.7)</f>
        <v>4200</v>
      </c>
      <c r="L184" s="1">
        <f t="shared" si="13"/>
        <v>1800</v>
      </c>
      <c r="M184" s="1">
        <f t="shared" si="14"/>
        <v>30</v>
      </c>
    </row>
    <row r="185" spans="1:13" x14ac:dyDescent="0.25">
      <c r="A185" s="2">
        <v>183</v>
      </c>
      <c r="B185" s="1">
        <v>1183</v>
      </c>
      <c r="C185" s="4">
        <v>46061</v>
      </c>
      <c r="D185" s="1" t="s">
        <v>14</v>
      </c>
      <c r="E185" s="1" t="s">
        <v>16</v>
      </c>
      <c r="F185" s="1" t="str">
        <f t="shared" ca="1" si="15"/>
        <v>Mumbai</v>
      </c>
      <c r="G185" s="1" t="str">
        <f t="shared" ca="1" si="16"/>
        <v>Simran</v>
      </c>
      <c r="H185" s="1">
        <v>3</v>
      </c>
      <c r="I185" s="1">
        <f t="shared" si="17"/>
        <v>42000</v>
      </c>
      <c r="J185" s="1">
        <f t="shared" si="12"/>
        <v>126000</v>
      </c>
      <c r="K185" s="1" cm="1">
        <f t="array" ref="K185">J185 * _xlfn.SWITCH(I185, 90000, 78/90, 42000, 36/42, 25000, 21/25, 15000, 12.5/15, 0.7)</f>
        <v>108000</v>
      </c>
      <c r="L185" s="1">
        <f t="shared" si="13"/>
        <v>18000</v>
      </c>
      <c r="M185" s="1">
        <f t="shared" si="14"/>
        <v>14.29</v>
      </c>
    </row>
    <row r="186" spans="1:13" x14ac:dyDescent="0.25">
      <c r="A186" s="1">
        <v>184</v>
      </c>
      <c r="B186" s="1">
        <v>1184</v>
      </c>
      <c r="C186" s="4">
        <v>46061</v>
      </c>
      <c r="D186" s="1" t="s">
        <v>14</v>
      </c>
      <c r="E186" s="1" t="s">
        <v>16</v>
      </c>
      <c r="F186" s="1" t="str">
        <f t="shared" ca="1" si="15"/>
        <v>Dehradun</v>
      </c>
      <c r="G186" s="1" t="str">
        <f t="shared" ca="1" si="16"/>
        <v>Priya</v>
      </c>
      <c r="H186" s="1">
        <v>1</v>
      </c>
      <c r="I186" s="1">
        <f t="shared" si="17"/>
        <v>3000</v>
      </c>
      <c r="J186" s="1">
        <f t="shared" si="12"/>
        <v>3000</v>
      </c>
      <c r="K186" s="1" cm="1">
        <f t="array" ref="K186">J186 * _xlfn.SWITCH(I186, 90000, 78/90, 42000, 36/42, 25000, 21/25, 15000, 12.5/15, 0.7)</f>
        <v>2100</v>
      </c>
      <c r="L186" s="1">
        <f t="shared" si="13"/>
        <v>900</v>
      </c>
      <c r="M186" s="1">
        <f t="shared" si="14"/>
        <v>30</v>
      </c>
    </row>
    <row r="187" spans="1:13" x14ac:dyDescent="0.25">
      <c r="A187" s="2">
        <v>185</v>
      </c>
      <c r="B187" s="1">
        <v>1185</v>
      </c>
      <c r="C187" s="4">
        <v>46061</v>
      </c>
      <c r="D187" s="1" t="s">
        <v>12</v>
      </c>
      <c r="E187" s="1" t="s">
        <v>15</v>
      </c>
      <c r="F187" s="1" t="str">
        <f t="shared" ca="1" si="15"/>
        <v>Delhi</v>
      </c>
      <c r="G187" s="1" t="str">
        <f t="shared" ca="1" si="16"/>
        <v>Simran</v>
      </c>
      <c r="H187" s="1">
        <v>2</v>
      </c>
      <c r="I187" s="1">
        <f t="shared" si="17"/>
        <v>3000</v>
      </c>
      <c r="J187" s="1">
        <f t="shared" si="12"/>
        <v>6000</v>
      </c>
      <c r="K187" s="1" cm="1">
        <f t="array" ref="K187">J187 * _xlfn.SWITCH(I187, 90000, 78/90, 42000, 36/42, 25000, 21/25, 15000, 12.5/15, 0.7)</f>
        <v>4200</v>
      </c>
      <c r="L187" s="1">
        <f t="shared" si="13"/>
        <v>1800</v>
      </c>
      <c r="M187" s="1">
        <f t="shared" si="14"/>
        <v>30</v>
      </c>
    </row>
    <row r="188" spans="1:13" x14ac:dyDescent="0.25">
      <c r="A188" s="1">
        <v>186</v>
      </c>
      <c r="B188" s="1">
        <v>1186</v>
      </c>
      <c r="C188" s="4">
        <v>46062</v>
      </c>
      <c r="D188" s="1" t="s">
        <v>14</v>
      </c>
      <c r="E188" s="1" t="s">
        <v>16</v>
      </c>
      <c r="F188" s="1" t="str">
        <f t="shared" ca="1" si="15"/>
        <v>Mumbai</v>
      </c>
      <c r="G188" s="1" t="str">
        <f t="shared" ca="1" si="16"/>
        <v>Rahul</v>
      </c>
      <c r="H188" s="1">
        <v>3</v>
      </c>
      <c r="I188" s="1">
        <f t="shared" si="17"/>
        <v>90000</v>
      </c>
      <c r="J188" s="1">
        <f t="shared" si="12"/>
        <v>270000</v>
      </c>
      <c r="K188" s="1" cm="1">
        <f t="array" ref="K188">J188 * _xlfn.SWITCH(I188, 90000, 78/90, 42000, 36/42, 25000, 21/25, 15000, 12.5/15, 0.7)</f>
        <v>234000</v>
      </c>
      <c r="L188" s="1">
        <f t="shared" si="13"/>
        <v>36000</v>
      </c>
      <c r="M188" s="1">
        <f t="shared" si="14"/>
        <v>13.33</v>
      </c>
    </row>
    <row r="189" spans="1:13" x14ac:dyDescent="0.25">
      <c r="A189" s="2">
        <v>187</v>
      </c>
      <c r="B189" s="1">
        <v>1187</v>
      </c>
      <c r="C189" s="4">
        <v>46062</v>
      </c>
      <c r="D189" s="1" t="s">
        <v>9</v>
      </c>
      <c r="E189" s="1" t="s">
        <v>15</v>
      </c>
      <c r="F189" s="1" t="str">
        <f t="shared" ca="1" si="15"/>
        <v>Dehradun</v>
      </c>
      <c r="G189" s="1" t="str">
        <f t="shared" ca="1" si="16"/>
        <v>Aman</v>
      </c>
      <c r="H189" s="1">
        <v>2</v>
      </c>
      <c r="I189" s="1">
        <f t="shared" si="17"/>
        <v>3000</v>
      </c>
      <c r="J189" s="1">
        <f t="shared" si="12"/>
        <v>6000</v>
      </c>
      <c r="K189" s="1" cm="1">
        <f t="array" ref="K189">J189 * _xlfn.SWITCH(I189, 90000, 78/90, 42000, 36/42, 25000, 21/25, 15000, 12.5/15, 0.7)</f>
        <v>4200</v>
      </c>
      <c r="L189" s="1">
        <f t="shared" si="13"/>
        <v>1800</v>
      </c>
      <c r="M189" s="1">
        <f t="shared" si="14"/>
        <v>30</v>
      </c>
    </row>
    <row r="190" spans="1:13" x14ac:dyDescent="0.25">
      <c r="A190" s="1">
        <v>188</v>
      </c>
      <c r="B190" s="1">
        <v>1188</v>
      </c>
      <c r="C190" s="4">
        <v>46062</v>
      </c>
      <c r="D190" s="1" t="s">
        <v>12</v>
      </c>
      <c r="E190" s="1" t="s">
        <v>15</v>
      </c>
      <c r="F190" s="1" t="str">
        <f t="shared" ca="1" si="15"/>
        <v>Mumbai</v>
      </c>
      <c r="G190" s="1" t="str">
        <f t="shared" ca="1" si="16"/>
        <v>Priya</v>
      </c>
      <c r="H190" s="1">
        <v>1</v>
      </c>
      <c r="I190" s="1">
        <f t="shared" si="17"/>
        <v>90000</v>
      </c>
      <c r="J190" s="1">
        <f t="shared" si="12"/>
        <v>90000</v>
      </c>
      <c r="K190" s="1" cm="1">
        <f t="array" ref="K190">J190 * _xlfn.SWITCH(I190, 90000, 78/90, 42000, 36/42, 25000, 21/25, 15000, 12.5/15, 0.7)</f>
        <v>78000</v>
      </c>
      <c r="L190" s="1">
        <f t="shared" si="13"/>
        <v>12000</v>
      </c>
      <c r="M190" s="1">
        <f t="shared" si="14"/>
        <v>13.33</v>
      </c>
    </row>
    <row r="191" spans="1:13" x14ac:dyDescent="0.25">
      <c r="A191" s="2">
        <v>189</v>
      </c>
      <c r="B191" s="1">
        <v>1189</v>
      </c>
      <c r="C191" s="4">
        <v>46063</v>
      </c>
      <c r="D191" s="1" t="s">
        <v>9</v>
      </c>
      <c r="E191" s="1" t="s">
        <v>15</v>
      </c>
      <c r="F191" s="1" t="str">
        <f t="shared" ca="1" si="15"/>
        <v>Dehradun</v>
      </c>
      <c r="G191" s="1" t="str">
        <f t="shared" ca="1" si="16"/>
        <v>Simran</v>
      </c>
      <c r="H191" s="1">
        <v>1</v>
      </c>
      <c r="I191" s="1">
        <f t="shared" si="17"/>
        <v>90000</v>
      </c>
      <c r="J191" s="1">
        <f t="shared" si="12"/>
        <v>90000</v>
      </c>
      <c r="K191" s="1" cm="1">
        <f t="array" ref="K191">J191 * _xlfn.SWITCH(I191, 90000, 78/90, 42000, 36/42, 25000, 21/25, 15000, 12.5/15, 0.7)</f>
        <v>78000</v>
      </c>
      <c r="L191" s="1">
        <f t="shared" si="13"/>
        <v>12000</v>
      </c>
      <c r="M191" s="1">
        <f t="shared" si="14"/>
        <v>13.33</v>
      </c>
    </row>
    <row r="192" spans="1:13" x14ac:dyDescent="0.25">
      <c r="A192" s="1">
        <v>190</v>
      </c>
      <c r="B192" s="1">
        <v>1190</v>
      </c>
      <c r="C192" s="4">
        <v>46064</v>
      </c>
      <c r="D192" s="1" t="s">
        <v>8</v>
      </c>
      <c r="E192" s="1" t="s">
        <v>15</v>
      </c>
      <c r="F192" s="1" t="str">
        <f t="shared" ca="1" si="15"/>
        <v>Banglore</v>
      </c>
      <c r="G192" s="1" t="str">
        <f t="shared" ca="1" si="16"/>
        <v>Aman</v>
      </c>
      <c r="H192" s="1">
        <v>3</v>
      </c>
      <c r="I192" s="1">
        <f t="shared" si="17"/>
        <v>90000</v>
      </c>
      <c r="J192" s="1">
        <f t="shared" si="12"/>
        <v>270000</v>
      </c>
      <c r="K192" s="1" cm="1">
        <f t="array" ref="K192">J192 * _xlfn.SWITCH(I192, 90000, 78/90, 42000, 36/42, 25000, 21/25, 15000, 12.5/15, 0.7)</f>
        <v>234000</v>
      </c>
      <c r="L192" s="1">
        <f t="shared" si="13"/>
        <v>36000</v>
      </c>
      <c r="M192" s="1">
        <f t="shared" si="14"/>
        <v>13.33</v>
      </c>
    </row>
    <row r="193" spans="1:13" x14ac:dyDescent="0.25">
      <c r="A193" s="2">
        <v>191</v>
      </c>
      <c r="B193" s="1">
        <v>1191</v>
      </c>
      <c r="C193" s="4">
        <v>46064</v>
      </c>
      <c r="D193" s="1" t="s">
        <v>9</v>
      </c>
      <c r="E193" s="1" t="s">
        <v>15</v>
      </c>
      <c r="F193" s="1" t="str">
        <f t="shared" ca="1" si="15"/>
        <v>Pune</v>
      </c>
      <c r="G193" s="1" t="str">
        <f t="shared" ca="1" si="16"/>
        <v>Aman</v>
      </c>
      <c r="H193" s="1">
        <v>3</v>
      </c>
      <c r="I193" s="1">
        <f t="shared" si="17"/>
        <v>42000</v>
      </c>
      <c r="J193" s="1">
        <f t="shared" si="12"/>
        <v>126000</v>
      </c>
      <c r="K193" s="1" cm="1">
        <f t="array" ref="K193">J193 * _xlfn.SWITCH(I193, 90000, 78/90, 42000, 36/42, 25000, 21/25, 15000, 12.5/15, 0.7)</f>
        <v>108000</v>
      </c>
      <c r="L193" s="1">
        <f t="shared" si="13"/>
        <v>18000</v>
      </c>
      <c r="M193" s="1">
        <f t="shared" si="14"/>
        <v>14.29</v>
      </c>
    </row>
    <row r="194" spans="1:13" x14ac:dyDescent="0.25">
      <c r="A194" s="1">
        <v>192</v>
      </c>
      <c r="B194" s="1">
        <v>1192</v>
      </c>
      <c r="C194" s="4">
        <v>46065</v>
      </c>
      <c r="D194" s="1" t="s">
        <v>11</v>
      </c>
      <c r="E194" s="1" t="s">
        <v>15</v>
      </c>
      <c r="F194" s="1" t="str">
        <f t="shared" ca="1" si="15"/>
        <v>Mumbai</v>
      </c>
      <c r="G194" s="1" t="str">
        <f t="shared" ca="1" si="16"/>
        <v>Aman</v>
      </c>
      <c r="H194" s="1">
        <v>3</v>
      </c>
      <c r="I194" s="1">
        <f t="shared" si="17"/>
        <v>90000</v>
      </c>
      <c r="J194" s="1">
        <f t="shared" si="12"/>
        <v>270000</v>
      </c>
      <c r="K194" s="1" cm="1">
        <f t="array" ref="K194">J194 * _xlfn.SWITCH(I194, 90000, 78/90, 42000, 36/42, 25000, 21/25, 15000, 12.5/15, 0.7)</f>
        <v>234000</v>
      </c>
      <c r="L194" s="1">
        <f t="shared" si="13"/>
        <v>36000</v>
      </c>
      <c r="M194" s="1">
        <f t="shared" si="14"/>
        <v>13.33</v>
      </c>
    </row>
    <row r="195" spans="1:13" x14ac:dyDescent="0.25">
      <c r="A195" s="2">
        <v>193</v>
      </c>
      <c r="B195" s="1">
        <v>1193</v>
      </c>
      <c r="C195" s="4">
        <v>46066</v>
      </c>
      <c r="D195" s="1" t="s">
        <v>14</v>
      </c>
      <c r="E195" s="1" t="s">
        <v>16</v>
      </c>
      <c r="F195" s="1" t="str">
        <f t="shared" ca="1" si="15"/>
        <v>Banglore</v>
      </c>
      <c r="G195" s="1" t="str">
        <f t="shared" ca="1" si="16"/>
        <v>Simran</v>
      </c>
      <c r="H195" s="1">
        <v>1</v>
      </c>
      <c r="I195" s="1">
        <f t="shared" si="17"/>
        <v>15000</v>
      </c>
      <c r="J195" s="1">
        <f t="shared" si="12"/>
        <v>15000</v>
      </c>
      <c r="K195" s="1" cm="1">
        <f t="array" ref="K195">J195 * _xlfn.SWITCH(I195, 90000, 78/90, 42000, 36/42, 25000, 21/25, 15000, 12.5/15, 0.7)</f>
        <v>12500</v>
      </c>
      <c r="L195" s="1">
        <f t="shared" si="13"/>
        <v>2500</v>
      </c>
      <c r="M195" s="1">
        <f t="shared" si="14"/>
        <v>16.670000000000002</v>
      </c>
    </row>
    <row r="196" spans="1:13" x14ac:dyDescent="0.25">
      <c r="A196" s="1">
        <v>194</v>
      </c>
      <c r="B196" s="1">
        <v>1194</v>
      </c>
      <c r="C196" s="4">
        <v>46066</v>
      </c>
      <c r="D196" s="1" t="s">
        <v>11</v>
      </c>
      <c r="E196" s="1" t="s">
        <v>15</v>
      </c>
      <c r="F196" s="1" t="str">
        <f t="shared" ca="1" si="15"/>
        <v>Hyderabad</v>
      </c>
      <c r="G196" s="1" t="str">
        <f t="shared" ca="1" si="16"/>
        <v>Rahul</v>
      </c>
      <c r="H196" s="1">
        <v>2</v>
      </c>
      <c r="I196" s="1">
        <f t="shared" si="17"/>
        <v>3000</v>
      </c>
      <c r="J196" s="1">
        <f t="shared" ref="J196:J206" si="18">H196*I196</f>
        <v>6000</v>
      </c>
      <c r="K196" s="1" cm="1">
        <f t="array" ref="K196">J196 * _xlfn.SWITCH(I196, 90000, 78/90, 42000, 36/42, 25000, 21/25, 15000, 12.5/15, 0.7)</f>
        <v>4200</v>
      </c>
      <c r="L196" s="1">
        <f t="shared" ref="L196:L202" si="19">J196-K196</f>
        <v>1800</v>
      </c>
      <c r="M196" s="1">
        <f t="shared" ref="M196:M202" si="20">ROUND(L196/J196*100,2)</f>
        <v>30</v>
      </c>
    </row>
    <row r="197" spans="1:13" x14ac:dyDescent="0.25">
      <c r="A197" s="2">
        <v>195</v>
      </c>
      <c r="B197" s="1">
        <v>1195</v>
      </c>
      <c r="C197" s="4">
        <v>46066</v>
      </c>
      <c r="D197" s="1" t="s">
        <v>8</v>
      </c>
      <c r="E197" s="1" t="s">
        <v>15</v>
      </c>
      <c r="F197" s="1" t="str">
        <f t="shared" ca="1" si="15"/>
        <v>Pune</v>
      </c>
      <c r="G197" s="1" t="str">
        <f t="shared" ca="1" si="16"/>
        <v>Rahul</v>
      </c>
      <c r="H197" s="1">
        <v>2</v>
      </c>
      <c r="I197" s="1">
        <f t="shared" si="17"/>
        <v>15000</v>
      </c>
      <c r="J197" s="1">
        <f t="shared" si="18"/>
        <v>30000</v>
      </c>
      <c r="K197" s="1" cm="1">
        <f t="array" ref="K197">J197 * _xlfn.SWITCH(I197, 90000, 78/90, 42000, 36/42, 25000, 21/25, 15000, 12.5/15, 0.7)</f>
        <v>25000</v>
      </c>
      <c r="L197" s="1">
        <f t="shared" si="19"/>
        <v>5000</v>
      </c>
      <c r="M197" s="1">
        <f t="shared" si="20"/>
        <v>16.670000000000002</v>
      </c>
    </row>
    <row r="198" spans="1:13" x14ac:dyDescent="0.25">
      <c r="A198" s="1">
        <v>196</v>
      </c>
      <c r="B198" s="1">
        <v>1196</v>
      </c>
      <c r="C198" s="4">
        <v>46067</v>
      </c>
      <c r="D198" s="1" t="s">
        <v>11</v>
      </c>
      <c r="E198" s="1" t="s">
        <v>15</v>
      </c>
      <c r="F198" s="1" t="str">
        <f t="shared" ca="1" si="15"/>
        <v>Hyderabad</v>
      </c>
      <c r="G198" s="1" t="str">
        <f t="shared" ca="1" si="16"/>
        <v>Rahul</v>
      </c>
      <c r="H198" s="1">
        <v>1</v>
      </c>
      <c r="I198" s="1">
        <f t="shared" si="17"/>
        <v>42000</v>
      </c>
      <c r="J198" s="1">
        <f t="shared" si="18"/>
        <v>42000</v>
      </c>
      <c r="K198" s="1" cm="1">
        <f t="array" ref="K198">J198 * _xlfn.SWITCH(I198, 90000, 78/90, 42000, 36/42, 25000, 21/25, 15000, 12.5/15, 0.7)</f>
        <v>36000</v>
      </c>
      <c r="L198" s="1">
        <f t="shared" si="19"/>
        <v>6000</v>
      </c>
      <c r="M198" s="1">
        <f t="shared" si="20"/>
        <v>14.29</v>
      </c>
    </row>
    <row r="199" spans="1:13" x14ac:dyDescent="0.25">
      <c r="A199" s="2">
        <v>197</v>
      </c>
      <c r="B199" s="1">
        <v>1197</v>
      </c>
      <c r="C199" s="4">
        <v>46067</v>
      </c>
      <c r="D199" s="1" t="s">
        <v>12</v>
      </c>
      <c r="E199" s="1" t="s">
        <v>15</v>
      </c>
      <c r="F199" s="1" t="str">
        <f t="shared" ca="1" si="15"/>
        <v>Banglore</v>
      </c>
      <c r="G199" s="1" t="str">
        <f t="shared" ca="1" si="16"/>
        <v>Rahul</v>
      </c>
      <c r="H199" s="1">
        <v>3</v>
      </c>
      <c r="I199" s="1">
        <f t="shared" si="17"/>
        <v>15000</v>
      </c>
      <c r="J199" s="1">
        <f t="shared" si="18"/>
        <v>45000</v>
      </c>
      <c r="K199" s="1" cm="1">
        <f t="array" ref="K199">J199 * _xlfn.SWITCH(I199, 90000, 78/90, 42000, 36/42, 25000, 21/25, 15000, 12.5/15, 0.7)</f>
        <v>37500</v>
      </c>
      <c r="L199" s="1">
        <f t="shared" si="19"/>
        <v>7500</v>
      </c>
      <c r="M199" s="1">
        <f t="shared" si="20"/>
        <v>16.670000000000002</v>
      </c>
    </row>
    <row r="200" spans="1:13" x14ac:dyDescent="0.25">
      <c r="A200" s="1">
        <v>198</v>
      </c>
      <c r="B200" s="1">
        <v>1198</v>
      </c>
      <c r="C200" s="4">
        <v>46068</v>
      </c>
      <c r="D200" s="1" t="s">
        <v>11</v>
      </c>
      <c r="E200" s="1" t="s">
        <v>15</v>
      </c>
      <c r="F200" s="1" t="str">
        <f t="shared" ca="1" si="15"/>
        <v>Hyderabad</v>
      </c>
      <c r="G200" s="1" t="str">
        <f t="shared" ca="1" si="16"/>
        <v>Simran</v>
      </c>
      <c r="H200" s="1">
        <v>3</v>
      </c>
      <c r="I200" s="1">
        <f t="shared" si="17"/>
        <v>90000</v>
      </c>
      <c r="J200" s="1">
        <f t="shared" si="18"/>
        <v>270000</v>
      </c>
      <c r="K200" s="1" cm="1">
        <f t="array" ref="K200">J200 * _xlfn.SWITCH(I200, 90000, 78/90, 42000, 36/42, 25000, 21/25, 15000, 12.5/15, 0.7)</f>
        <v>234000</v>
      </c>
      <c r="L200" s="1">
        <f t="shared" si="19"/>
        <v>36000</v>
      </c>
      <c r="M200" s="1">
        <f t="shared" si="20"/>
        <v>13.33</v>
      </c>
    </row>
    <row r="201" spans="1:13" x14ac:dyDescent="0.25">
      <c r="A201" s="2">
        <v>199</v>
      </c>
      <c r="B201" s="1">
        <v>1199</v>
      </c>
      <c r="C201" s="4">
        <v>46068</v>
      </c>
      <c r="D201" s="1" t="s">
        <v>13</v>
      </c>
      <c r="E201" s="1" t="s">
        <v>16</v>
      </c>
      <c r="F201" s="1" t="str">
        <f t="shared" ca="1" si="15"/>
        <v>Hyderabad</v>
      </c>
      <c r="G201" s="1" t="str">
        <f t="shared" ca="1" si="16"/>
        <v>Priya</v>
      </c>
      <c r="H201" s="1">
        <v>2</v>
      </c>
      <c r="I201" s="1">
        <f t="shared" si="17"/>
        <v>15000</v>
      </c>
      <c r="J201" s="1">
        <f t="shared" si="18"/>
        <v>30000</v>
      </c>
      <c r="K201" s="1" cm="1">
        <f t="array" ref="K201">J201 * _xlfn.SWITCH(I201, 90000, 78/90, 42000, 36/42, 25000, 21/25, 15000, 12.5/15, 0.7)</f>
        <v>25000</v>
      </c>
      <c r="L201" s="1">
        <f t="shared" si="19"/>
        <v>5000</v>
      </c>
      <c r="M201" s="1">
        <f t="shared" si="20"/>
        <v>16.670000000000002</v>
      </c>
    </row>
    <row r="202" spans="1:13" x14ac:dyDescent="0.25">
      <c r="A202" s="1">
        <v>200</v>
      </c>
      <c r="B202" s="1">
        <v>1200</v>
      </c>
      <c r="C202" s="4">
        <v>46069</v>
      </c>
      <c r="D202" s="1" t="s">
        <v>13</v>
      </c>
      <c r="E202" s="1" t="s">
        <v>16</v>
      </c>
      <c r="F202" s="1" t="str">
        <f t="shared" ca="1" si="15"/>
        <v>Pune</v>
      </c>
      <c r="G202" s="1" t="str">
        <f t="shared" ca="1" si="16"/>
        <v>Rahul</v>
      </c>
      <c r="H202" s="1">
        <v>3</v>
      </c>
      <c r="I202" s="1">
        <f t="shared" si="17"/>
        <v>2000</v>
      </c>
      <c r="J202" s="1">
        <f t="shared" si="18"/>
        <v>6000</v>
      </c>
      <c r="K202" s="1" cm="1">
        <f t="array" ref="K202">J202 * _xlfn.SWITCH(I202, 90000, 78/90, 42000, 36/42, 25000, 21/25, 15000, 12.5/15, 0.7)</f>
        <v>4200</v>
      </c>
      <c r="L202" s="1">
        <f t="shared" si="19"/>
        <v>1800</v>
      </c>
      <c r="M202" s="1">
        <f t="shared" si="20"/>
        <v>30</v>
      </c>
    </row>
  </sheetData>
  <autoFilter ref="C1:C202" xr:uid="{04E13FCF-6146-4B78-8F2C-5568078999A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PRANSHU RAWAT</dc:creator>
  <cp:lastModifiedBy>PRANSHU RAWAT</cp:lastModifiedBy>
  <dcterms:created xsi:type="dcterms:W3CDTF">2026-02-16T11:35:07Z</dcterms:created>
  <dcterms:modified xsi:type="dcterms:W3CDTF">2026-02-16T14:03:59Z</dcterms:modified>
</cp:coreProperties>
</file>